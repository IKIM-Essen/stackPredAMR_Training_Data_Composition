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_4" sheetId="1" r:id="rId5"/>
  </sheets>
  <definedNames/>
  <calcPr/>
</workbook>
</file>

<file path=xl/sharedStrings.xml><?xml version="1.0" encoding="utf-8"?>
<sst xmlns="http://schemas.openxmlformats.org/spreadsheetml/2006/main" count="111" uniqueCount="31">
  <si>
    <t>VITEK baseline</t>
  </si>
  <si>
    <t>Std</t>
  </si>
  <si>
    <t>Target</t>
  </si>
  <si>
    <t>Accuracy</t>
  </si>
  <si>
    <t>ROC_Mean</t>
  </si>
  <si>
    <t>PR_Mean</t>
  </si>
  <si>
    <t>Precision_Mean</t>
  </si>
  <si>
    <t>Recall_Mean</t>
  </si>
  <si>
    <t>F1_Mean</t>
  </si>
  <si>
    <t>VME</t>
  </si>
  <si>
    <t>ME</t>
  </si>
  <si>
    <t>Amikacin</t>
  </si>
  <si>
    <t>Ampicillin-sulbactam</t>
  </si>
  <si>
    <t>Aztreonam</t>
  </si>
  <si>
    <t>Cefazolin</t>
  </si>
  <si>
    <t>Cefepime</t>
  </si>
  <si>
    <t>Ceftazidime</t>
  </si>
  <si>
    <t>Ceftazidime-avibactam</t>
  </si>
  <si>
    <t>Cefuroxime</t>
  </si>
  <si>
    <t>Ciprofloxacin</t>
  </si>
  <si>
    <t>Ertapenem</t>
  </si>
  <si>
    <t>Gentamicin</t>
  </si>
  <si>
    <t>Imipenem</t>
  </si>
  <si>
    <t>Levofloxacin</t>
  </si>
  <si>
    <t>Meropenem</t>
  </si>
  <si>
    <t>Piperacillin-tazobactam</t>
  </si>
  <si>
    <t>Tobramycin</t>
  </si>
  <si>
    <t>Median</t>
  </si>
  <si>
    <t>Average</t>
  </si>
  <si>
    <t>Phoenix enriched</t>
  </si>
  <si>
    <t>Unclassified enriched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</si>
</sst>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Helvetica Neue"/>
    </font>
    <font>
      <color theme="1"/>
      <name val="Helvetica Neue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horizontal="center" vertical="bottom"/>
    </xf>
    <xf borderId="1" fillId="3" fontId="2" numFmtId="0" xfId="0" applyAlignment="1" applyBorder="1" applyFill="1" applyFont="1">
      <alignment vertical="top"/>
    </xf>
    <xf borderId="1" fillId="4" fontId="2" numFmtId="0" xfId="0" applyAlignment="1" applyBorder="1" applyFill="1" applyFont="1">
      <alignment readingOrder="0" vertical="top"/>
    </xf>
    <xf borderId="1" fillId="0" fontId="3" numFmtId="2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</row>
    <row r="2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3</v>
      </c>
      <c r="K2" s="4" t="s">
        <v>4</v>
      </c>
      <c r="L2" s="4" t="s">
        <v>5</v>
      </c>
      <c r="M2" s="4" t="s">
        <v>6</v>
      </c>
      <c r="N2" s="4" t="s">
        <v>7</v>
      </c>
      <c r="O2" s="4" t="s">
        <v>8</v>
      </c>
      <c r="P2" s="4" t="s">
        <v>9</v>
      </c>
      <c r="Q2" s="4" t="s">
        <v>10</v>
      </c>
    </row>
    <row r="3">
      <c r="A3" s="5" t="s">
        <v>11</v>
      </c>
      <c r="B3" s="6">
        <v>0.808627371338446</v>
      </c>
      <c r="C3" s="6">
        <v>0.864635300349117</v>
      </c>
      <c r="D3" s="6">
        <v>0.858223992195776</v>
      </c>
      <c r="E3" s="6">
        <v>0.811184131795447</v>
      </c>
      <c r="F3" s="6">
        <v>0.77216834609532</v>
      </c>
      <c r="G3" s="6">
        <v>0.783689087596839</v>
      </c>
      <c r="H3" s="6">
        <v>13.8861388672198</v>
      </c>
      <c r="I3" s="6">
        <v>5.25112399893548</v>
      </c>
      <c r="J3" s="6">
        <v>0.00531121615348124</v>
      </c>
      <c r="K3" s="6">
        <v>0.00935047309932917</v>
      </c>
      <c r="L3" s="6">
        <v>0.0104422365999131</v>
      </c>
      <c r="M3" s="6">
        <v>0.00645477564497689</v>
      </c>
      <c r="N3" s="6">
        <v>0.00529740457741642</v>
      </c>
      <c r="O3" s="6">
        <v>0.00569745626346719</v>
      </c>
      <c r="P3" s="6">
        <v>0.347370575157033</v>
      </c>
      <c r="Q3" s="6">
        <v>0.335523054496581</v>
      </c>
    </row>
    <row r="4">
      <c r="A4" s="5" t="s">
        <v>12</v>
      </c>
      <c r="B4" s="6">
        <v>0.872690393255646</v>
      </c>
      <c r="C4" s="6">
        <v>0.728593748947775</v>
      </c>
      <c r="D4" s="6">
        <v>0.658415247123037</v>
      </c>
      <c r="E4" s="6">
        <v>0.658563262564926</v>
      </c>
      <c r="F4" s="6">
        <v>0.670640391114272</v>
      </c>
      <c r="G4" s="6">
        <v>0.664043586942069</v>
      </c>
      <c r="H4" s="6">
        <v>6.78704832616651</v>
      </c>
      <c r="I4" s="6">
        <v>5.94391234826887</v>
      </c>
      <c r="J4" s="6">
        <v>0.00364041640704744</v>
      </c>
      <c r="K4" s="6">
        <v>0.0152367400544662</v>
      </c>
      <c r="L4" s="6">
        <v>0.0069244271646819</v>
      </c>
      <c r="M4" s="6">
        <v>0.0114168089388817</v>
      </c>
      <c r="N4" s="6">
        <v>0.0190029153875008</v>
      </c>
      <c r="O4" s="6">
        <v>0.0143569008412494</v>
      </c>
      <c r="P4" s="6">
        <v>0.201351654612849</v>
      </c>
      <c r="Q4" s="6">
        <v>0.503689835847452</v>
      </c>
    </row>
    <row r="5">
      <c r="A5" s="5" t="s">
        <v>13</v>
      </c>
      <c r="B5" s="6">
        <v>0.81577742910924</v>
      </c>
      <c r="C5" s="6">
        <v>0.792776718568801</v>
      </c>
      <c r="D5" s="6">
        <v>0.718519708660493</v>
      </c>
      <c r="E5" s="6">
        <v>0.687527719813111</v>
      </c>
      <c r="F5" s="6">
        <v>0.705629595176962</v>
      </c>
      <c r="G5" s="6">
        <v>0.695305928064865</v>
      </c>
      <c r="H5" s="6">
        <v>10.2831287413186</v>
      </c>
      <c r="I5" s="6">
        <v>8.13912834775732</v>
      </c>
      <c r="J5" s="6">
        <v>0.00673757871996211</v>
      </c>
      <c r="K5" s="6">
        <v>0.0169012420617571</v>
      </c>
      <c r="L5" s="6">
        <v>0.0147836213669009</v>
      </c>
      <c r="M5" s="6">
        <v>0.00693585159420755</v>
      </c>
      <c r="N5" s="6">
        <v>0.016151274369466</v>
      </c>
      <c r="O5" s="6">
        <v>0.00992945783095756</v>
      </c>
      <c r="P5" s="6">
        <v>0.40544524054018</v>
      </c>
      <c r="Q5" s="6">
        <v>0.913510475030462</v>
      </c>
    </row>
    <row r="6">
      <c r="A6" s="5" t="s">
        <v>14</v>
      </c>
      <c r="B6" s="6">
        <v>0.956072418477912</v>
      </c>
      <c r="C6" s="6">
        <v>0.932681189873693</v>
      </c>
      <c r="D6" s="6">
        <v>0.884101274501929</v>
      </c>
      <c r="E6" s="6">
        <v>0.857111616273156</v>
      </c>
      <c r="F6" s="6">
        <v>0.872744956461481</v>
      </c>
      <c r="G6" s="6">
        <v>0.863820729009771</v>
      </c>
      <c r="H6" s="6">
        <v>2.392675001231</v>
      </c>
      <c r="I6" s="6">
        <v>2.00008315097778</v>
      </c>
      <c r="J6" s="6">
        <v>0.00545421483833554</v>
      </c>
      <c r="K6" s="6">
        <v>0.0122952307900425</v>
      </c>
      <c r="L6" s="6">
        <v>0.0204851021993787</v>
      </c>
      <c r="M6" s="6">
        <v>0.0292769591259048</v>
      </c>
      <c r="N6" s="6">
        <v>0.0214827305700197</v>
      </c>
      <c r="O6" s="6">
        <v>0.0213487046432721</v>
      </c>
      <c r="P6" s="6">
        <v>0.493681206055911</v>
      </c>
      <c r="Q6" s="6">
        <v>0.478663719365365</v>
      </c>
    </row>
    <row r="7">
      <c r="A7" s="5" t="s">
        <v>15</v>
      </c>
      <c r="B7" s="6">
        <v>0.689427957087172</v>
      </c>
      <c r="C7" s="6">
        <v>0.644152738346701</v>
      </c>
      <c r="D7" s="6">
        <v>0.58885029193739</v>
      </c>
      <c r="E7" s="6">
        <v>0.537384830248803</v>
      </c>
      <c r="F7" s="6">
        <v>0.555443800807506</v>
      </c>
      <c r="G7" s="6">
        <v>0.53461543400794</v>
      </c>
      <c r="H7" s="6">
        <v>21.0613452403846</v>
      </c>
      <c r="I7" s="6">
        <v>9.99585905089809</v>
      </c>
      <c r="J7" s="6">
        <v>0.00594600904887854</v>
      </c>
      <c r="K7" s="6">
        <v>0.0124633069416523</v>
      </c>
      <c r="L7" s="6">
        <v>0.0123124565416981</v>
      </c>
      <c r="M7" s="6">
        <v>0.00727438926171103</v>
      </c>
      <c r="N7" s="6">
        <v>0.0106381925116687</v>
      </c>
      <c r="O7" s="6">
        <v>0.0083591094074202</v>
      </c>
      <c r="P7" s="6">
        <v>0.475419067569482</v>
      </c>
      <c r="Q7" s="6">
        <v>0.435677354785699</v>
      </c>
    </row>
    <row r="8">
      <c r="A8" s="5" t="s">
        <v>16</v>
      </c>
      <c r="B8" s="6">
        <v>0.867471533538264</v>
      </c>
      <c r="C8" s="6">
        <v>0.870025781276146</v>
      </c>
      <c r="D8" s="6">
        <v>0.806732658494653</v>
      </c>
      <c r="E8" s="6">
        <v>0.797992541094348</v>
      </c>
      <c r="F8" s="6">
        <v>0.794848464547059</v>
      </c>
      <c r="G8" s="6">
        <v>0.796334320105871</v>
      </c>
      <c r="H8" s="6">
        <v>6.48142858601611</v>
      </c>
      <c r="I8" s="6">
        <v>6.77141806015746</v>
      </c>
      <c r="J8" s="6">
        <v>0.00302490590432395</v>
      </c>
      <c r="K8" s="6">
        <v>0.00802452698476704</v>
      </c>
      <c r="L8" s="6">
        <v>0.00975423004936587</v>
      </c>
      <c r="M8" s="6">
        <v>0.00354784143751403</v>
      </c>
      <c r="N8" s="6">
        <v>0.00821377057631028</v>
      </c>
      <c r="O8" s="6">
        <v>0.0056098410875699</v>
      </c>
      <c r="P8" s="6">
        <v>0.224708385767138</v>
      </c>
      <c r="Q8" s="6">
        <v>0.385655178620136</v>
      </c>
    </row>
    <row r="9">
      <c r="A9" s="5" t="s">
        <v>17</v>
      </c>
      <c r="B9" s="6">
        <v>0.740475488283255</v>
      </c>
      <c r="C9" s="6">
        <v>0.944736114929778</v>
      </c>
      <c r="D9" s="6">
        <v>0.947428576497309</v>
      </c>
      <c r="E9" s="6">
        <v>0.729999508600965</v>
      </c>
      <c r="F9" s="6">
        <v>0.783999614139624</v>
      </c>
      <c r="G9" s="6">
        <v>0.723951894461871</v>
      </c>
      <c r="H9" s="6">
        <v>3.29902446037255</v>
      </c>
      <c r="I9" s="6">
        <v>22.6534267113018</v>
      </c>
      <c r="J9" s="6">
        <v>0.00978143237487741</v>
      </c>
      <c r="K9" s="6">
        <v>0.00871352370133254</v>
      </c>
      <c r="L9" s="6">
        <v>0.00751786103026489</v>
      </c>
      <c r="M9" s="6">
        <v>0.00698770777298527</v>
      </c>
      <c r="N9" s="6">
        <v>0.0142473160448222</v>
      </c>
      <c r="O9" s="6">
        <v>0.00746956555288475</v>
      </c>
      <c r="P9" s="6">
        <v>0.744154090538215</v>
      </c>
      <c r="Q9" s="6">
        <v>0.573109215302644</v>
      </c>
    </row>
    <row r="10">
      <c r="A10" s="5" t="s">
        <v>18</v>
      </c>
      <c r="B10" s="6">
        <v>0.57347901579081</v>
      </c>
      <c r="C10" s="6">
        <v>0.433132884881695</v>
      </c>
      <c r="D10" s="6">
        <v>0.450596902559611</v>
      </c>
      <c r="E10" s="6">
        <v>0.439244146561202</v>
      </c>
      <c r="F10" s="6">
        <v>0.474409068908923</v>
      </c>
      <c r="G10" s="6">
        <v>0.420279706405768</v>
      </c>
      <c r="H10" s="6">
        <v>8.16800251835987</v>
      </c>
      <c r="I10" s="6">
        <v>34.484095902559</v>
      </c>
      <c r="J10" s="6">
        <v>0.00716918205636538</v>
      </c>
      <c r="K10" s="6">
        <v>0.00673907503639107</v>
      </c>
      <c r="L10" s="6">
        <v>0.00443320723570896</v>
      </c>
      <c r="M10" s="6">
        <v>0.0121726859102167</v>
      </c>
      <c r="N10" s="6">
        <v>0.00482265729566808</v>
      </c>
      <c r="O10" s="6">
        <v>0.00766778293057287</v>
      </c>
      <c r="P10" s="6">
        <v>0.363606137825483</v>
      </c>
      <c r="Q10" s="6">
        <v>0.801969433393501</v>
      </c>
    </row>
    <row r="11">
      <c r="A11" s="5" t="s">
        <v>19</v>
      </c>
      <c r="B11" s="6">
        <v>0.851853169800859</v>
      </c>
      <c r="C11" s="6">
        <v>0.520314437398636</v>
      </c>
      <c r="D11" s="6">
        <v>0.53325394336419</v>
      </c>
      <c r="E11" s="6">
        <v>0.425926584900429</v>
      </c>
      <c r="F11" s="6">
        <v>0.5</v>
      </c>
      <c r="G11" s="6">
        <v>0.459996639510761</v>
      </c>
      <c r="H11" s="6">
        <v>0.0</v>
      </c>
      <c r="I11" s="6">
        <v>14.814683019914</v>
      </c>
      <c r="J11" s="6">
        <v>0.00488132436084362</v>
      </c>
      <c r="K11" s="6">
        <v>0.0122679869621109</v>
      </c>
      <c r="L11" s="6">
        <v>0.0089436443027168</v>
      </c>
      <c r="M11" s="6">
        <v>0.00244066218042178</v>
      </c>
      <c r="N11" s="6">
        <v>0.0</v>
      </c>
      <c r="O11" s="6">
        <v>0.00142068738958472</v>
      </c>
      <c r="P11" s="6">
        <v>0.0</v>
      </c>
      <c r="Q11" s="6">
        <v>0.48813243608436</v>
      </c>
    </row>
    <row r="12">
      <c r="A12" s="5" t="s">
        <v>20</v>
      </c>
      <c r="B12" s="6">
        <v>0.936264297838639</v>
      </c>
      <c r="C12" s="6">
        <v>0.92872050215313</v>
      </c>
      <c r="D12" s="6">
        <v>0.756123629341073</v>
      </c>
      <c r="E12" s="6">
        <v>0.468132148919319</v>
      </c>
      <c r="F12" s="6">
        <v>0.5</v>
      </c>
      <c r="G12" s="6">
        <v>0.483531299749648</v>
      </c>
      <c r="H12" s="6">
        <v>0.0</v>
      </c>
      <c r="I12" s="6">
        <v>6.37357021613603</v>
      </c>
      <c r="J12" s="6">
        <v>0.00864450601757729</v>
      </c>
      <c r="K12" s="6">
        <v>0.00401152200362102</v>
      </c>
      <c r="L12" s="6">
        <v>0.0193565764996426</v>
      </c>
      <c r="M12" s="6">
        <v>0.00432225300878865</v>
      </c>
      <c r="N12" s="6">
        <v>0.0</v>
      </c>
      <c r="O12" s="6">
        <v>0.00230265048666785</v>
      </c>
      <c r="P12" s="6">
        <v>0.0</v>
      </c>
      <c r="Q12" s="6">
        <v>0.864450601757729</v>
      </c>
    </row>
    <row r="13">
      <c r="A13" s="5" t="s">
        <v>21</v>
      </c>
      <c r="B13" s="6">
        <v>0.836027223146427</v>
      </c>
      <c r="C13" s="6">
        <v>0.886760638131903</v>
      </c>
      <c r="D13" s="6">
        <v>0.880689414354116</v>
      </c>
      <c r="E13" s="6">
        <v>0.835481706407489</v>
      </c>
      <c r="F13" s="6">
        <v>0.837284631491667</v>
      </c>
      <c r="G13" s="6">
        <v>0.835666483405181</v>
      </c>
      <c r="H13" s="6">
        <v>6.76898842766793</v>
      </c>
      <c r="I13" s="6">
        <v>9.62828925768928</v>
      </c>
      <c r="J13" s="6">
        <v>0.00532593547196695</v>
      </c>
      <c r="K13" s="6">
        <v>0.00667697504837514</v>
      </c>
      <c r="L13" s="6">
        <v>0.0071897781219994</v>
      </c>
      <c r="M13" s="6">
        <v>0.00516083577851445</v>
      </c>
      <c r="N13" s="6">
        <v>0.00532037986623744</v>
      </c>
      <c r="O13" s="6">
        <v>0.00527484202383124</v>
      </c>
      <c r="P13" s="6">
        <v>0.354693284487282</v>
      </c>
      <c r="Q13" s="6">
        <v>0.435183159756686</v>
      </c>
    </row>
    <row r="14">
      <c r="A14" s="5" t="s">
        <v>22</v>
      </c>
      <c r="B14" s="6">
        <v>0.326247290094852</v>
      </c>
      <c r="C14" s="6">
        <v>0.731105983736047</v>
      </c>
      <c r="D14" s="6">
        <v>0.672311381333307</v>
      </c>
      <c r="E14" s="6">
        <v>0.624260006516128</v>
      </c>
      <c r="F14" s="6">
        <v>0.509628597354778</v>
      </c>
      <c r="G14" s="6">
        <v>0.262096932262073</v>
      </c>
      <c r="H14" s="6">
        <v>0.112509423536469</v>
      </c>
      <c r="I14" s="6">
        <v>67.2627615669782</v>
      </c>
      <c r="J14" s="6">
        <v>0.00439002399113739</v>
      </c>
      <c r="K14" s="6">
        <v>0.0115661733737811</v>
      </c>
      <c r="L14" s="6">
        <v>0.0110097336405013</v>
      </c>
      <c r="M14" s="6">
        <v>0.0149264220762226</v>
      </c>
      <c r="N14" s="6">
        <v>0.00153928587670279</v>
      </c>
      <c r="O14" s="6">
        <v>0.00200623183246495</v>
      </c>
      <c r="P14" s="6">
        <v>0.056293927806073</v>
      </c>
      <c r="Q14" s="6">
        <v>0.486040276507211</v>
      </c>
    </row>
    <row r="15">
      <c r="A15" s="5" t="s">
        <v>23</v>
      </c>
      <c r="B15" s="6">
        <v>0.666053689813563</v>
      </c>
      <c r="C15" s="6">
        <v>0.761173937875506</v>
      </c>
      <c r="D15" s="6">
        <v>0.752432145859465</v>
      </c>
      <c r="E15" s="6">
        <v>0.701574448675238</v>
      </c>
      <c r="F15" s="6">
        <v>0.63411497433746</v>
      </c>
      <c r="G15" s="6">
        <v>0.619145442264205</v>
      </c>
      <c r="H15" s="6">
        <v>4.91428468658661</v>
      </c>
      <c r="I15" s="6">
        <v>28.480346332057</v>
      </c>
      <c r="J15" s="6">
        <v>0.00772882768186136</v>
      </c>
      <c r="K15" s="6">
        <v>0.0104146224315287</v>
      </c>
      <c r="L15" s="6">
        <v>0.00917091267933865</v>
      </c>
      <c r="M15" s="6">
        <v>0.00616001341227585</v>
      </c>
      <c r="N15" s="6">
        <v>0.00721663046474976</v>
      </c>
      <c r="O15" s="6">
        <v>0.00963325502424687</v>
      </c>
      <c r="P15" s="6">
        <v>0.0996413455295249</v>
      </c>
      <c r="Q15" s="6">
        <v>0.83436505539193</v>
      </c>
    </row>
    <row r="16">
      <c r="A16" s="5" t="s">
        <v>24</v>
      </c>
      <c r="B16" s="6">
        <v>0.357581685870105</v>
      </c>
      <c r="C16" s="6">
        <v>0.670053650628874</v>
      </c>
      <c r="D16" s="6">
        <v>0.652637090432175</v>
      </c>
      <c r="E16" s="6">
        <v>0.649034807038399</v>
      </c>
      <c r="F16" s="6">
        <v>0.515315884324606</v>
      </c>
      <c r="G16" s="6">
        <v>0.287928002944889</v>
      </c>
      <c r="H16" s="6">
        <v>0.106730493987836</v>
      </c>
      <c r="I16" s="6">
        <v>64.1351009190016</v>
      </c>
      <c r="J16" s="6">
        <v>0.0046115100906151</v>
      </c>
      <c r="K16" s="6">
        <v>0.0107788794820609</v>
      </c>
      <c r="L16" s="6">
        <v>0.00650733031516246</v>
      </c>
      <c r="M16" s="6">
        <v>0.0110227022422932</v>
      </c>
      <c r="N16" s="6">
        <v>0.00216475072659637</v>
      </c>
      <c r="O16" s="6">
        <v>0.00510607306512261</v>
      </c>
      <c r="P16" s="6">
        <v>0.0534006024947243</v>
      </c>
      <c r="Q16" s="6">
        <v>0.487054530390464</v>
      </c>
    </row>
    <row r="17">
      <c r="A17" s="5" t="s">
        <v>25</v>
      </c>
      <c r="B17" s="6">
        <v>0.631976395905204</v>
      </c>
      <c r="C17" s="6">
        <v>0.662668910504561</v>
      </c>
      <c r="D17" s="6">
        <v>0.621037843848446</v>
      </c>
      <c r="E17" s="6">
        <v>0.599335285899032</v>
      </c>
      <c r="F17" s="6">
        <v>0.58555283121627</v>
      </c>
      <c r="G17" s="6">
        <v>0.585497213602986</v>
      </c>
      <c r="H17" s="6">
        <v>13.5043352577849</v>
      </c>
      <c r="I17" s="6">
        <v>23.2980251516945</v>
      </c>
      <c r="J17" s="6">
        <v>0.00279528400235246</v>
      </c>
      <c r="K17" s="6">
        <v>0.00626969000160072</v>
      </c>
      <c r="L17" s="6">
        <v>0.00848230584544565</v>
      </c>
      <c r="M17" s="6">
        <v>0.00326552829949957</v>
      </c>
      <c r="N17" s="6">
        <v>0.00357837489128085</v>
      </c>
      <c r="O17" s="6">
        <v>0.00386365439354871</v>
      </c>
      <c r="P17" s="6">
        <v>0.318660326605342</v>
      </c>
      <c r="Q17" s="6">
        <v>0.440030824966325</v>
      </c>
    </row>
    <row r="18">
      <c r="A18" s="5" t="s">
        <v>26</v>
      </c>
      <c r="B18" s="6">
        <v>0.864373685466457</v>
      </c>
      <c r="C18" s="6">
        <v>0.903355739535496</v>
      </c>
      <c r="D18" s="6">
        <v>0.885884910300702</v>
      </c>
      <c r="E18" s="6">
        <v>0.850333111757784</v>
      </c>
      <c r="F18" s="6">
        <v>0.866890350805338</v>
      </c>
      <c r="G18" s="6">
        <v>0.8564129739035</v>
      </c>
      <c r="H18" s="6">
        <v>9.09593602277582</v>
      </c>
      <c r="I18" s="6">
        <v>4.46669543057841</v>
      </c>
      <c r="J18" s="6">
        <v>0.00870484733807966</v>
      </c>
      <c r="K18" s="6">
        <v>0.00862676948700278</v>
      </c>
      <c r="L18" s="6">
        <v>0.0115159198891228</v>
      </c>
      <c r="M18" s="6">
        <v>0.00850525020599704</v>
      </c>
      <c r="N18" s="6">
        <v>0.00793171040103639</v>
      </c>
      <c r="O18" s="6">
        <v>0.00852252975225276</v>
      </c>
      <c r="P18" s="6">
        <v>0.760849535062078</v>
      </c>
      <c r="Q18" s="6">
        <v>0.348071112122881</v>
      </c>
    </row>
    <row r="19">
      <c r="A19" s="5" t="s">
        <v>27</v>
      </c>
      <c r="B19" s="6">
        <f t="shared" ref="B19:Q19" si="1">MEDIAN(B3:B18)</f>
        <v>0.8122024002</v>
      </c>
      <c r="C19" s="6">
        <f t="shared" si="1"/>
        <v>0.7769753282</v>
      </c>
      <c r="D19" s="6">
        <f t="shared" si="1"/>
        <v>0.7354759273</v>
      </c>
      <c r="E19" s="6">
        <f t="shared" si="1"/>
        <v>0.6730454912</v>
      </c>
      <c r="F19" s="6">
        <f t="shared" si="1"/>
        <v>0.6523776827</v>
      </c>
      <c r="G19" s="6">
        <f t="shared" si="1"/>
        <v>0.6415945146</v>
      </c>
      <c r="H19" s="6">
        <f t="shared" si="1"/>
        <v>6.625208507</v>
      </c>
      <c r="I19" s="6">
        <f t="shared" si="1"/>
        <v>9.812074154</v>
      </c>
      <c r="J19" s="6">
        <f t="shared" si="1"/>
        <v>0.005390075155</v>
      </c>
      <c r="K19" s="6">
        <f t="shared" si="1"/>
        <v>0.009882547765</v>
      </c>
      <c r="L19" s="6">
        <f t="shared" si="1"/>
        <v>0.009462571364</v>
      </c>
      <c r="M19" s="6">
        <f t="shared" si="1"/>
        <v>0.006961779684</v>
      </c>
      <c r="N19" s="6">
        <f t="shared" si="1"/>
        <v>0.006268505165</v>
      </c>
      <c r="O19" s="6">
        <f t="shared" si="1"/>
        <v>0.006583510908</v>
      </c>
      <c r="P19" s="6">
        <f t="shared" si="1"/>
        <v>0.3330154509</v>
      </c>
      <c r="Q19" s="6">
        <f t="shared" si="1"/>
        <v>0.4865474034</v>
      </c>
    </row>
    <row r="20">
      <c r="A20" s="5" t="s">
        <v>28</v>
      </c>
      <c r="B20" s="6">
        <f t="shared" ref="B20:Q20" si="2">AVERAGE(B3:B18)</f>
        <v>0.7371499403</v>
      </c>
      <c r="C20" s="6">
        <f t="shared" si="2"/>
        <v>0.7671805173</v>
      </c>
      <c r="D20" s="6">
        <f t="shared" si="2"/>
        <v>0.7292024382</v>
      </c>
      <c r="E20" s="6">
        <f t="shared" si="2"/>
        <v>0.6670678661</v>
      </c>
      <c r="F20" s="6">
        <f t="shared" si="2"/>
        <v>0.6611669692</v>
      </c>
      <c r="G20" s="6">
        <f t="shared" si="2"/>
        <v>0.6170197296</v>
      </c>
      <c r="H20" s="6">
        <f t="shared" si="2"/>
        <v>6.678848503</v>
      </c>
      <c r="I20" s="6">
        <f t="shared" si="2"/>
        <v>19.60615747</v>
      </c>
      <c r="J20" s="6">
        <f t="shared" si="2"/>
        <v>0.005884200904</v>
      </c>
      <c r="K20" s="6">
        <f t="shared" si="2"/>
        <v>0.01002104609</v>
      </c>
      <c r="L20" s="6">
        <f t="shared" si="2"/>
        <v>0.01055183397</v>
      </c>
      <c r="M20" s="6">
        <f t="shared" si="2"/>
        <v>0.008741917931</v>
      </c>
      <c r="N20" s="6">
        <f t="shared" si="2"/>
        <v>0.007975462097</v>
      </c>
      <c r="O20" s="6">
        <f t="shared" si="2"/>
        <v>0.007410546408</v>
      </c>
      <c r="P20" s="6">
        <f t="shared" si="2"/>
        <v>0.3062047113</v>
      </c>
      <c r="Q20" s="6">
        <f t="shared" si="2"/>
        <v>0.5506953915</v>
      </c>
    </row>
    <row r="21">
      <c r="A21" s="1" t="s">
        <v>29</v>
      </c>
      <c r="B21" s="2"/>
      <c r="C21" s="2"/>
      <c r="D21" s="2"/>
      <c r="E21" s="2"/>
      <c r="F21" s="2"/>
      <c r="G21" s="2"/>
      <c r="H21" s="2"/>
      <c r="I21" s="2"/>
      <c r="J21" s="3" t="s">
        <v>1</v>
      </c>
    </row>
    <row r="22">
      <c r="A22" s="4" t="s">
        <v>2</v>
      </c>
      <c r="B22" s="4" t="s">
        <v>3</v>
      </c>
      <c r="C22" s="4" t="s">
        <v>4</v>
      </c>
      <c r="D22" s="4" t="s">
        <v>5</v>
      </c>
      <c r="E22" s="4" t="s">
        <v>6</v>
      </c>
      <c r="F22" s="4" t="s">
        <v>7</v>
      </c>
      <c r="G22" s="4" t="s">
        <v>8</v>
      </c>
      <c r="H22" s="4" t="s">
        <v>9</v>
      </c>
      <c r="I22" s="4" t="s">
        <v>10</v>
      </c>
      <c r="J22" s="4" t="s">
        <v>3</v>
      </c>
      <c r="K22" s="4" t="s">
        <v>4</v>
      </c>
      <c r="L22" s="4" t="s">
        <v>5</v>
      </c>
      <c r="M22" s="4" t="s">
        <v>6</v>
      </c>
      <c r="N22" s="4" t="s">
        <v>7</v>
      </c>
      <c r="O22" s="4" t="s">
        <v>8</v>
      </c>
      <c r="P22" s="4" t="s">
        <v>9</v>
      </c>
      <c r="Q22" s="4" t="s">
        <v>10</v>
      </c>
    </row>
    <row r="23">
      <c r="A23" s="5" t="s">
        <v>11</v>
      </c>
      <c r="B23" s="6">
        <v>0.828072999707141</v>
      </c>
      <c r="C23" s="6">
        <v>0.884088161508688</v>
      </c>
      <c r="D23" s="6">
        <v>0.853923209779972</v>
      </c>
      <c r="E23" s="6">
        <v>0.817418711576669</v>
      </c>
      <c r="F23" s="6">
        <v>0.830114705445204</v>
      </c>
      <c r="G23" s="6">
        <v>0.820713274918439</v>
      </c>
      <c r="H23" s="6">
        <v>6.03995039983941</v>
      </c>
      <c r="I23" s="6">
        <v>11.1527496294464</v>
      </c>
      <c r="J23" s="6">
        <v>0.0234389870607511</v>
      </c>
      <c r="K23" s="6">
        <v>0.015412953620314</v>
      </c>
      <c r="L23" s="6">
        <v>0.0164429038126984</v>
      </c>
      <c r="M23" s="6">
        <v>0.023056876923707</v>
      </c>
      <c r="N23" s="6">
        <v>0.0214852205098198</v>
      </c>
      <c r="O23" s="6">
        <v>0.0235828974116259</v>
      </c>
      <c r="P23" s="6">
        <v>1.21663904439172</v>
      </c>
      <c r="Q23" s="6">
        <v>2.35169793518244</v>
      </c>
    </row>
    <row r="24">
      <c r="A24" s="5" t="s">
        <v>12</v>
      </c>
      <c r="B24" s="6">
        <v>0.872730393904529</v>
      </c>
      <c r="C24" s="6">
        <v>0.7234687928018</v>
      </c>
      <c r="D24" s="6">
        <v>0.645356364618499</v>
      </c>
      <c r="E24" s="6">
        <v>0.658440966558491</v>
      </c>
      <c r="F24" s="6">
        <v>0.661364218035432</v>
      </c>
      <c r="G24" s="6">
        <v>0.658612416624456</v>
      </c>
      <c r="H24" s="6">
        <v>6.57049223100636</v>
      </c>
      <c r="I24" s="6">
        <v>6.15646837854068</v>
      </c>
      <c r="J24" s="6">
        <v>0.0107358597369544</v>
      </c>
      <c r="K24" s="6">
        <v>0.0366138601845318</v>
      </c>
      <c r="L24" s="6">
        <v>0.0199280038157585</v>
      </c>
      <c r="M24" s="6">
        <v>0.0295852264000834</v>
      </c>
      <c r="N24" s="6">
        <v>0.0173271538899274</v>
      </c>
      <c r="O24" s="6">
        <v>0.0204913455043838</v>
      </c>
      <c r="P24" s="6">
        <v>1.25281207113835</v>
      </c>
      <c r="Q24" s="6">
        <v>0.455915572800994</v>
      </c>
    </row>
    <row r="25">
      <c r="A25" s="5" t="s">
        <v>13</v>
      </c>
      <c r="B25" s="6">
        <v>0.827168857444062</v>
      </c>
      <c r="C25" s="6">
        <v>0.79750253120394</v>
      </c>
      <c r="D25" s="6">
        <v>0.725253326189511</v>
      </c>
      <c r="E25" s="6">
        <v>0.706942381590904</v>
      </c>
      <c r="F25" s="6">
        <v>0.727285503558441</v>
      </c>
      <c r="G25" s="6">
        <v>0.715196262851516</v>
      </c>
      <c r="H25" s="6">
        <v>9.80514337207234</v>
      </c>
      <c r="I25" s="6">
        <v>7.47797088352138</v>
      </c>
      <c r="J25" s="6">
        <v>0.0128263232788006</v>
      </c>
      <c r="K25" s="6">
        <v>0.0159708134400491</v>
      </c>
      <c r="L25" s="6">
        <v>0.0101161562307145</v>
      </c>
      <c r="M25" s="6">
        <v>0.0116256997021468</v>
      </c>
      <c r="N25" s="6">
        <v>0.0190306685721867</v>
      </c>
      <c r="O25" s="6">
        <v>0.0124147593390837</v>
      </c>
      <c r="P25" s="6">
        <v>1.40676266023327</v>
      </c>
      <c r="Q25" s="6">
        <v>1.04812736473192</v>
      </c>
    </row>
    <row r="26">
      <c r="A26" s="5" t="s">
        <v>14</v>
      </c>
      <c r="B26" s="6">
        <v>0.954259869207039</v>
      </c>
      <c r="C26" s="6">
        <v>0.96018414530033</v>
      </c>
      <c r="D26" s="6">
        <v>0.900107472069679</v>
      </c>
      <c r="E26" s="6">
        <v>0.848353576646304</v>
      </c>
      <c r="F26" s="6">
        <v>0.884170690492344</v>
      </c>
      <c r="G26" s="6">
        <v>0.864353095558196</v>
      </c>
      <c r="H26" s="6">
        <v>2.77910669599498</v>
      </c>
      <c r="I26" s="6">
        <v>1.79490638330102</v>
      </c>
      <c r="J26" s="6">
        <v>0.00805805582286487</v>
      </c>
      <c r="K26" s="6">
        <v>0.00698431054405628</v>
      </c>
      <c r="L26" s="6">
        <v>0.0183868886293114</v>
      </c>
      <c r="M26" s="6">
        <v>0.0171162895595708</v>
      </c>
      <c r="N26" s="6">
        <v>0.0182384437899896</v>
      </c>
      <c r="O26" s="6">
        <v>0.00950232778747685</v>
      </c>
      <c r="P26" s="6">
        <v>0.632299897791424</v>
      </c>
      <c r="Q26" s="6">
        <v>0.514203636310949</v>
      </c>
    </row>
    <row r="27">
      <c r="A27" s="5" t="s">
        <v>15</v>
      </c>
      <c r="B27" s="6">
        <v>0.832931768572493</v>
      </c>
      <c r="C27" s="6">
        <v>0.538302398175737</v>
      </c>
      <c r="D27" s="6">
        <v>0.525499954453296</v>
      </c>
      <c r="E27" s="6">
        <v>0.504987430138674</v>
      </c>
      <c r="F27" s="6">
        <v>0.499769084621865</v>
      </c>
      <c r="G27" s="6">
        <v>0.467924384524254</v>
      </c>
      <c r="H27" s="6">
        <v>1.29789439274791</v>
      </c>
      <c r="I27" s="6">
        <v>15.4089287500027</v>
      </c>
      <c r="J27" s="6">
        <v>0.00589291015852144</v>
      </c>
      <c r="K27" s="6">
        <v>0.0651537113548682</v>
      </c>
      <c r="L27" s="6">
        <v>0.0314346646774095</v>
      </c>
      <c r="M27" s="6">
        <v>0.0474435452122745</v>
      </c>
      <c r="N27" s="6">
        <v>0.0066321211938367</v>
      </c>
      <c r="O27" s="6">
        <v>0.00950642343354516</v>
      </c>
      <c r="P27" s="6">
        <v>0.452514224106592</v>
      </c>
      <c r="Q27" s="6">
        <v>0.666483075372451</v>
      </c>
    </row>
    <row r="28">
      <c r="A28" s="5" t="s">
        <v>16</v>
      </c>
      <c r="B28" s="6">
        <v>0.870209149222731</v>
      </c>
      <c r="C28" s="6">
        <v>0.893962839453971</v>
      </c>
      <c r="D28" s="6">
        <v>0.810856938117615</v>
      </c>
      <c r="E28" s="6">
        <v>0.800200346350911</v>
      </c>
      <c r="F28" s="6">
        <v>0.835440998088607</v>
      </c>
      <c r="G28" s="6">
        <v>0.814128681691251</v>
      </c>
      <c r="H28" s="6">
        <v>8.36378017284284</v>
      </c>
      <c r="I28" s="6">
        <v>4.61530490488401</v>
      </c>
      <c r="J28" s="6">
        <v>0.0172463030376309</v>
      </c>
      <c r="K28" s="6">
        <v>0.00490760537790278</v>
      </c>
      <c r="L28" s="6">
        <v>0.0246395918750134</v>
      </c>
      <c r="M28" s="6">
        <v>0.0225116690895788</v>
      </c>
      <c r="N28" s="6">
        <v>0.0157388682530635</v>
      </c>
      <c r="O28" s="6">
        <v>0.0182818684578631</v>
      </c>
      <c r="P28" s="6">
        <v>2.06049992567248</v>
      </c>
      <c r="Q28" s="6">
        <v>0.811178733805172</v>
      </c>
    </row>
    <row r="29">
      <c r="A29" s="5" t="s">
        <v>17</v>
      </c>
      <c r="B29" s="6">
        <v>0.823175425985637</v>
      </c>
      <c r="C29" s="6">
        <v>0.945234870506459</v>
      </c>
      <c r="D29" s="6">
        <v>0.93629347066964</v>
      </c>
      <c r="E29" s="6">
        <v>0.807527948693137</v>
      </c>
      <c r="F29" s="6">
        <v>0.86622988739468</v>
      </c>
      <c r="G29" s="6">
        <v>0.809466512092894</v>
      </c>
      <c r="H29" s="6">
        <v>0.966026575753219</v>
      </c>
      <c r="I29" s="6">
        <v>16.716430825683</v>
      </c>
      <c r="J29" s="6">
        <v>0.0638445106663263</v>
      </c>
      <c r="K29" s="6">
        <v>0.0490418402333313</v>
      </c>
      <c r="L29" s="6">
        <v>0.0629145848376308</v>
      </c>
      <c r="M29" s="6">
        <v>0.0474860679464319</v>
      </c>
      <c r="N29" s="6">
        <v>0.0437307698789673</v>
      </c>
      <c r="O29" s="6">
        <v>0.0621206141831162</v>
      </c>
      <c r="P29" s="6">
        <v>0.33411179224268</v>
      </c>
      <c r="Q29" s="6">
        <v>6.43008504055035</v>
      </c>
    </row>
    <row r="30">
      <c r="A30" s="5" t="s">
        <v>18</v>
      </c>
      <c r="B30" s="6">
        <v>0.562921005903406</v>
      </c>
      <c r="C30" s="6">
        <v>0.456205796474709</v>
      </c>
      <c r="D30" s="6">
        <v>0.472931587609014</v>
      </c>
      <c r="E30" s="6">
        <v>0.433614410656167</v>
      </c>
      <c r="F30" s="6">
        <v>0.467880766426144</v>
      </c>
      <c r="G30" s="6">
        <v>0.420105980701449</v>
      </c>
      <c r="H30" s="6">
        <v>9.59279822743402</v>
      </c>
      <c r="I30" s="6">
        <v>34.1151011822253</v>
      </c>
      <c r="J30" s="6">
        <v>0.00624313257050986</v>
      </c>
      <c r="K30" s="6">
        <v>0.038502873457116</v>
      </c>
      <c r="L30" s="6">
        <v>0.0220416524454509</v>
      </c>
      <c r="M30" s="6">
        <v>0.0148969236145878</v>
      </c>
      <c r="N30" s="6">
        <v>0.00857272257042996</v>
      </c>
      <c r="O30" s="6">
        <v>0.0074115905886097</v>
      </c>
      <c r="P30" s="6">
        <v>0.928542781488864</v>
      </c>
      <c r="Q30" s="6">
        <v>0.441860199478936</v>
      </c>
    </row>
    <row r="31">
      <c r="A31" s="5" t="s">
        <v>19</v>
      </c>
      <c r="B31" s="6">
        <v>0.851853169800859</v>
      </c>
      <c r="C31" s="6">
        <v>0.429057323840556</v>
      </c>
      <c r="D31" s="6">
        <v>0.47197229283073</v>
      </c>
      <c r="E31" s="6">
        <v>0.425926584900429</v>
      </c>
      <c r="F31" s="6">
        <v>0.5</v>
      </c>
      <c r="G31" s="6">
        <v>0.459996639510761</v>
      </c>
      <c r="H31" s="6">
        <v>0.0</v>
      </c>
      <c r="I31" s="6">
        <v>14.814683019914</v>
      </c>
      <c r="J31" s="6">
        <v>0.00488132436084362</v>
      </c>
      <c r="K31" s="6">
        <v>0.0693646622400133</v>
      </c>
      <c r="L31" s="6">
        <v>0.0244726727647181</v>
      </c>
      <c r="M31" s="6">
        <v>0.00244066218042178</v>
      </c>
      <c r="N31" s="6">
        <v>0.0</v>
      </c>
      <c r="O31" s="6">
        <v>0.00142068738958472</v>
      </c>
      <c r="P31" s="6">
        <v>0.0</v>
      </c>
      <c r="Q31" s="6">
        <v>0.48813243608436</v>
      </c>
    </row>
    <row r="32">
      <c r="A32" s="5" t="s">
        <v>20</v>
      </c>
      <c r="B32" s="6">
        <v>0.936264297838639</v>
      </c>
      <c r="C32" s="6">
        <v>0.853612878376874</v>
      </c>
      <c r="D32" s="6">
        <v>0.696529855648246</v>
      </c>
      <c r="E32" s="6">
        <v>0.468132148919319</v>
      </c>
      <c r="F32" s="6">
        <v>0.5</v>
      </c>
      <c r="G32" s="6">
        <v>0.483531299749648</v>
      </c>
      <c r="H32" s="6">
        <v>0.0</v>
      </c>
      <c r="I32" s="6">
        <v>6.37357021613604</v>
      </c>
      <c r="J32" s="6">
        <v>0.00864450601757729</v>
      </c>
      <c r="K32" s="6">
        <v>0.0632683350833947</v>
      </c>
      <c r="L32" s="6">
        <v>0.0622819490989459</v>
      </c>
      <c r="M32" s="6">
        <v>0.00432225300878865</v>
      </c>
      <c r="N32" s="6">
        <v>0.0</v>
      </c>
      <c r="O32" s="6">
        <v>0.00230265048666785</v>
      </c>
      <c r="P32" s="6">
        <v>0.0</v>
      </c>
      <c r="Q32" s="6">
        <v>0.864450601757729</v>
      </c>
    </row>
    <row r="33">
      <c r="A33" s="5" t="s">
        <v>21</v>
      </c>
      <c r="B33" s="6">
        <v>0.826297107199116</v>
      </c>
      <c r="C33" s="6">
        <v>0.893698080522333</v>
      </c>
      <c r="D33" s="6">
        <v>0.880329219552998</v>
      </c>
      <c r="E33" s="6">
        <v>0.831199880502178</v>
      </c>
      <c r="F33" s="6">
        <v>0.830847385028128</v>
      </c>
      <c r="G33" s="6">
        <v>0.826212297489441</v>
      </c>
      <c r="H33" s="6">
        <v>4.98065030931879</v>
      </c>
      <c r="I33" s="6">
        <v>12.3896389707696</v>
      </c>
      <c r="J33" s="6">
        <v>0.0111123441977618</v>
      </c>
      <c r="K33" s="6">
        <v>0.0146373282863639</v>
      </c>
      <c r="L33" s="6">
        <v>0.0191629640340006</v>
      </c>
      <c r="M33" s="6">
        <v>0.00918833951215047</v>
      </c>
      <c r="N33" s="6">
        <v>0.0104153506991361</v>
      </c>
      <c r="O33" s="6">
        <v>0.0110794579790336</v>
      </c>
      <c r="P33" s="6">
        <v>0.628234331518283</v>
      </c>
      <c r="Q33" s="6">
        <v>1.33057062616712</v>
      </c>
    </row>
    <row r="34">
      <c r="A34" s="5" t="s">
        <v>22</v>
      </c>
      <c r="B34" s="6">
        <v>0.328753245547779</v>
      </c>
      <c r="C34" s="6">
        <v>0.605620685783323</v>
      </c>
      <c r="D34" s="6">
        <v>0.593828359163569</v>
      </c>
      <c r="E34" s="6">
        <v>0.518742623291654</v>
      </c>
      <c r="F34" s="6">
        <v>0.510453395255533</v>
      </c>
      <c r="G34" s="6">
        <v>0.266803175819846</v>
      </c>
      <c r="H34" s="6">
        <v>0.222884670608162</v>
      </c>
      <c r="I34" s="6">
        <v>66.9017907746139</v>
      </c>
      <c r="J34" s="6">
        <v>0.00897640481911793</v>
      </c>
      <c r="K34" s="6">
        <v>0.0656953089143772</v>
      </c>
      <c r="L34" s="6">
        <v>0.0534486764536762</v>
      </c>
      <c r="M34" s="6">
        <v>0.182222756589011</v>
      </c>
      <c r="N34" s="6">
        <v>0.00622246480750227</v>
      </c>
      <c r="O34" s="6">
        <v>0.0147741526684862</v>
      </c>
      <c r="P34" s="6">
        <v>0.207054660895875</v>
      </c>
      <c r="Q34" s="6">
        <v>1.00506847958264</v>
      </c>
    </row>
    <row r="35">
      <c r="A35" s="5" t="s">
        <v>23</v>
      </c>
      <c r="B35" s="6">
        <v>0.695017621679763</v>
      </c>
      <c r="C35" s="6">
        <v>0.8485126810623</v>
      </c>
      <c r="D35" s="6">
        <v>0.828856903041641</v>
      </c>
      <c r="E35" s="6">
        <v>0.752499170327274</v>
      </c>
      <c r="F35" s="6">
        <v>0.663265776725775</v>
      </c>
      <c r="G35" s="6">
        <v>0.649651761386394</v>
      </c>
      <c r="H35" s="6">
        <v>3.25491676100377</v>
      </c>
      <c r="I35" s="6">
        <v>27.2433210710198</v>
      </c>
      <c r="J35" s="6">
        <v>0.0220568086374123</v>
      </c>
      <c r="K35" s="6">
        <v>0.0198875167252504</v>
      </c>
      <c r="L35" s="6">
        <v>0.0212095689717529</v>
      </c>
      <c r="M35" s="6">
        <v>0.0168369188496398</v>
      </c>
      <c r="N35" s="6">
        <v>0.0230340259676666</v>
      </c>
      <c r="O35" s="6">
        <v>0.0340778808553358</v>
      </c>
      <c r="P35" s="6">
        <v>1.29136674458647</v>
      </c>
      <c r="Q35" s="6">
        <v>3.13081203837264</v>
      </c>
    </row>
    <row r="36">
      <c r="A36" s="5" t="s">
        <v>24</v>
      </c>
      <c r="B36" s="6">
        <v>0.359039343451135</v>
      </c>
      <c r="C36" s="6">
        <v>0.610774796272144</v>
      </c>
      <c r="D36" s="6">
        <v>0.607365854034002</v>
      </c>
      <c r="E36" s="6">
        <v>0.616632197311672</v>
      </c>
      <c r="F36" s="6">
        <v>0.515755970028471</v>
      </c>
      <c r="G36" s="6">
        <v>0.290301407346458</v>
      </c>
      <c r="H36" s="6">
        <v>0.184476615799632</v>
      </c>
      <c r="I36" s="6">
        <v>63.9115890390868</v>
      </c>
      <c r="J36" s="6">
        <v>0.0129068159122385</v>
      </c>
      <c r="K36" s="6">
        <v>0.0757855871590692</v>
      </c>
      <c r="L36" s="6">
        <v>0.0789362875404488</v>
      </c>
      <c r="M36" s="6">
        <v>0.0583428952764434</v>
      </c>
      <c r="N36" s="6">
        <v>0.0110122984235518</v>
      </c>
      <c r="O36" s="6">
        <v>0.0243544411758304</v>
      </c>
      <c r="P36" s="6">
        <v>0.176586079890977</v>
      </c>
      <c r="Q36" s="6">
        <v>1.42161007765914</v>
      </c>
    </row>
    <row r="37">
      <c r="A37" s="5" t="s">
        <v>25</v>
      </c>
      <c r="B37" s="6">
        <v>0.675801800426492</v>
      </c>
      <c r="C37" s="6">
        <v>0.717771260117472</v>
      </c>
      <c r="D37" s="6">
        <v>0.676211760436003</v>
      </c>
      <c r="E37" s="6">
        <v>0.6533907717578</v>
      </c>
      <c r="F37" s="6">
        <v>0.634807524178954</v>
      </c>
      <c r="G37" s="6">
        <v>0.637274170341471</v>
      </c>
      <c r="H37" s="6">
        <v>11.8569087782941</v>
      </c>
      <c r="I37" s="6">
        <v>20.5629111790566</v>
      </c>
      <c r="J37" s="6">
        <v>0.0145711959029241</v>
      </c>
      <c r="K37" s="6">
        <v>0.0112113981000233</v>
      </c>
      <c r="L37" s="6">
        <v>0.0147768528579128</v>
      </c>
      <c r="M37" s="6">
        <v>0.0174939262323995</v>
      </c>
      <c r="N37" s="6">
        <v>0.0187388638506905</v>
      </c>
      <c r="O37" s="6">
        <v>0.01955125599884</v>
      </c>
      <c r="P37" s="6">
        <v>1.42689433240237</v>
      </c>
      <c r="Q37" s="6">
        <v>1.87009709100336</v>
      </c>
    </row>
    <row r="38">
      <c r="A38" s="5" t="s">
        <v>26</v>
      </c>
      <c r="B38" s="6">
        <v>0.910700797183025</v>
      </c>
      <c r="C38" s="6">
        <v>0.930015546372108</v>
      </c>
      <c r="D38" s="6">
        <v>0.916512148432842</v>
      </c>
      <c r="E38" s="6">
        <v>0.903758812907536</v>
      </c>
      <c r="F38" s="6">
        <v>0.90219117374371</v>
      </c>
      <c r="G38" s="6">
        <v>0.902772318171834</v>
      </c>
      <c r="H38" s="6">
        <v>4.33946476953938</v>
      </c>
      <c r="I38" s="6">
        <v>4.59045551215809</v>
      </c>
      <c r="J38" s="6">
        <v>0.00313255858074076</v>
      </c>
      <c r="K38" s="6">
        <v>0.0069358212859377</v>
      </c>
      <c r="L38" s="6">
        <v>0.0126001093414015</v>
      </c>
      <c r="M38" s="6">
        <v>0.00447730939399781</v>
      </c>
      <c r="N38" s="6">
        <v>0.00594648224013612</v>
      </c>
      <c r="O38" s="6">
        <v>0.00409524386858964</v>
      </c>
      <c r="P38" s="6">
        <v>0.662075562818223</v>
      </c>
      <c r="Q38" s="6">
        <v>0.67247669270034</v>
      </c>
    </row>
    <row r="39">
      <c r="A39" s="5" t="s">
        <v>27</v>
      </c>
      <c r="B39" s="6">
        <f t="shared" ref="B39:Q39" si="3">MEDIAN(B3:B38)</f>
        <v>0.8247362666</v>
      </c>
      <c r="C39" s="6">
        <f t="shared" si="3"/>
        <v>0.7848760234</v>
      </c>
      <c r="D39" s="6">
        <f t="shared" si="3"/>
        <v>0.7272278822</v>
      </c>
      <c r="E39" s="6">
        <f t="shared" si="3"/>
        <v>0.6700566786</v>
      </c>
      <c r="F39" s="6">
        <f t="shared" si="3"/>
        <v>0.6612655936</v>
      </c>
      <c r="G39" s="6">
        <f t="shared" si="3"/>
        <v>0.645623138</v>
      </c>
      <c r="H39" s="6">
        <f t="shared" si="3"/>
        <v>5.510300355</v>
      </c>
      <c r="I39" s="6">
        <f t="shared" si="3"/>
        <v>11.7711943</v>
      </c>
      <c r="J39" s="6">
        <f t="shared" si="3"/>
        <v>0.006953380388</v>
      </c>
      <c r="K39" s="6">
        <f t="shared" si="3"/>
        <v>0.01191708017</v>
      </c>
      <c r="L39" s="6">
        <f t="shared" si="3"/>
        <v>0.0136884811</v>
      </c>
      <c r="M39" s="6">
        <f t="shared" si="3"/>
        <v>0.01010552088</v>
      </c>
      <c r="N39" s="6">
        <f t="shared" si="3"/>
        <v>0.008094616337</v>
      </c>
      <c r="O39" s="6">
        <f t="shared" si="3"/>
        <v>0.00844081958</v>
      </c>
      <c r="P39" s="6">
        <f t="shared" si="3"/>
        <v>0.3591497112</v>
      </c>
      <c r="Q39" s="6">
        <f t="shared" si="3"/>
        <v>0.5619023034</v>
      </c>
    </row>
    <row r="40">
      <c r="A40" s="5" t="s">
        <v>28</v>
      </c>
      <c r="B40" s="6">
        <f t="shared" ref="B40:Q40" si="4">AVERAGE(B23:B38)</f>
        <v>0.7596998033</v>
      </c>
      <c r="C40" s="6">
        <f t="shared" si="4"/>
        <v>0.7555007992</v>
      </c>
      <c r="D40" s="6">
        <f t="shared" si="4"/>
        <v>0.7213642948</v>
      </c>
      <c r="E40" s="6">
        <f t="shared" si="4"/>
        <v>0.6717354976</v>
      </c>
      <c r="F40" s="6">
        <f t="shared" si="4"/>
        <v>0.6768485674</v>
      </c>
      <c r="G40" s="6">
        <f t="shared" si="4"/>
        <v>0.6304402299</v>
      </c>
      <c r="H40" s="6">
        <f t="shared" si="4"/>
        <v>4.390905873</v>
      </c>
      <c r="I40" s="6">
        <f t="shared" si="4"/>
        <v>19.6391138</v>
      </c>
      <c r="J40" s="6">
        <f t="shared" si="4"/>
        <v>0.01466050255</v>
      </c>
      <c r="K40" s="6">
        <f t="shared" si="4"/>
        <v>0.03496087038</v>
      </c>
      <c r="L40" s="6">
        <f t="shared" si="4"/>
        <v>0.03079959546</v>
      </c>
      <c r="M40" s="6">
        <f t="shared" si="4"/>
        <v>0.03181545997</v>
      </c>
      <c r="N40" s="6">
        <f t="shared" si="4"/>
        <v>0.01413284092</v>
      </c>
      <c r="O40" s="6">
        <f t="shared" si="4"/>
        <v>0.01718547482</v>
      </c>
      <c r="P40" s="6">
        <f t="shared" si="4"/>
        <v>0.7922746318</v>
      </c>
      <c r="Q40" s="6">
        <f t="shared" si="4"/>
        <v>1.4689231</v>
      </c>
    </row>
    <row r="41">
      <c r="A41" s="1" t="s">
        <v>30</v>
      </c>
      <c r="B41" s="2"/>
      <c r="C41" s="2"/>
      <c r="D41" s="2"/>
      <c r="E41" s="2"/>
      <c r="F41" s="2"/>
      <c r="G41" s="2"/>
      <c r="H41" s="2"/>
      <c r="I41" s="2"/>
      <c r="J41" s="3" t="s">
        <v>1</v>
      </c>
    </row>
    <row r="42">
      <c r="A42" s="4" t="s">
        <v>2</v>
      </c>
      <c r="B42" s="4" t="s">
        <v>3</v>
      </c>
      <c r="C42" s="4" t="s">
        <v>4</v>
      </c>
      <c r="D42" s="4" t="s">
        <v>5</v>
      </c>
      <c r="E42" s="4" t="s">
        <v>6</v>
      </c>
      <c r="F42" s="4" t="s">
        <v>7</v>
      </c>
      <c r="G42" s="4" t="s">
        <v>8</v>
      </c>
      <c r="H42" s="4" t="s">
        <v>9</v>
      </c>
      <c r="I42" s="4" t="s">
        <v>10</v>
      </c>
      <c r="J42" s="4" t="s">
        <v>3</v>
      </c>
      <c r="K42" s="4" t="s">
        <v>4</v>
      </c>
      <c r="L42" s="4" t="s">
        <v>5</v>
      </c>
      <c r="M42" s="4" t="s">
        <v>6</v>
      </c>
      <c r="N42" s="4" t="s">
        <v>7</v>
      </c>
      <c r="O42" s="4" t="s">
        <v>8</v>
      </c>
      <c r="P42" s="4" t="s">
        <v>9</v>
      </c>
      <c r="Q42" s="4" t="s">
        <v>10</v>
      </c>
    </row>
    <row r="43">
      <c r="A43" s="5" t="s">
        <v>11</v>
      </c>
      <c r="B43" s="6">
        <v>0.819279915034291</v>
      </c>
      <c r="C43" s="6">
        <v>0.910719631724772</v>
      </c>
      <c r="D43" s="6">
        <v>0.888339367919164</v>
      </c>
      <c r="E43" s="6">
        <v>0.824993798483757</v>
      </c>
      <c r="F43" s="6">
        <v>0.788760814388205</v>
      </c>
      <c r="G43" s="6">
        <v>0.795407405614678</v>
      </c>
      <c r="H43" s="6">
        <v>12.3775853810074</v>
      </c>
      <c r="I43" s="6">
        <v>5.69442311556345</v>
      </c>
      <c r="J43" s="6">
        <v>0.0278034088979777</v>
      </c>
      <c r="K43" s="6">
        <v>0.00731743954431625</v>
      </c>
      <c r="L43" s="6">
        <v>0.0109604648096693</v>
      </c>
      <c r="M43" s="6">
        <v>0.017291853695229</v>
      </c>
      <c r="N43" s="6">
        <v>0.047431254589664</v>
      </c>
      <c r="O43" s="6">
        <v>0.041751268473302</v>
      </c>
      <c r="P43" s="6">
        <v>4.82490956281739</v>
      </c>
      <c r="Q43" s="6">
        <v>2.47518608208483</v>
      </c>
    </row>
    <row r="44">
      <c r="A44" s="5" t="s">
        <v>12</v>
      </c>
      <c r="B44" s="6">
        <v>0.89809603927173</v>
      </c>
      <c r="C44" s="6">
        <v>0.802987227524344</v>
      </c>
      <c r="D44" s="6">
        <v>0.681886437616712</v>
      </c>
      <c r="E44" s="6">
        <v>0.719039324347698</v>
      </c>
      <c r="F44" s="6">
        <v>0.670850099942242</v>
      </c>
      <c r="G44" s="6">
        <v>0.688531797700213</v>
      </c>
      <c r="H44" s="6">
        <v>3.91374721243426</v>
      </c>
      <c r="I44" s="6">
        <v>6.27664886039264</v>
      </c>
      <c r="J44" s="6">
        <v>0.00793584467533214</v>
      </c>
      <c r="K44" s="6">
        <v>0.042568106159197</v>
      </c>
      <c r="L44" s="6">
        <v>0.0289104897441679</v>
      </c>
      <c r="M44" s="6">
        <v>0.0281551726723505</v>
      </c>
      <c r="N44" s="6">
        <v>0.0286128799546894</v>
      </c>
      <c r="O44" s="6">
        <v>0.0210578362713009</v>
      </c>
      <c r="P44" s="6">
        <v>0.977718421693531</v>
      </c>
      <c r="Q44" s="6">
        <v>0.799818039954664</v>
      </c>
    </row>
    <row r="45">
      <c r="A45" s="5" t="s">
        <v>13</v>
      </c>
      <c r="B45" s="6">
        <v>0.867535774815776</v>
      </c>
      <c r="C45" s="6">
        <v>0.844532687149072</v>
      </c>
      <c r="D45" s="6">
        <v>0.779435544531042</v>
      </c>
      <c r="E45" s="6">
        <v>0.772868401531045</v>
      </c>
      <c r="F45" s="6">
        <v>0.776808289965504</v>
      </c>
      <c r="G45" s="6">
        <v>0.772624754384326</v>
      </c>
      <c r="H45" s="6">
        <v>6.84013208368148</v>
      </c>
      <c r="I45" s="6">
        <v>6.40629043474089</v>
      </c>
      <c r="J45" s="6">
        <v>0.0186194929015098</v>
      </c>
      <c r="K45" s="6">
        <v>0.0494868052000142</v>
      </c>
      <c r="L45" s="6">
        <v>0.0438626776694167</v>
      </c>
      <c r="M45" s="6">
        <v>0.024498360793554</v>
      </c>
      <c r="N45" s="6">
        <v>0.0377368327864889</v>
      </c>
      <c r="O45" s="6">
        <v>0.0281141444623603</v>
      </c>
      <c r="P45" s="6">
        <v>1.86122563461379</v>
      </c>
      <c r="Q45" s="6">
        <v>1.7342222693247</v>
      </c>
    </row>
    <row r="46">
      <c r="A46" s="5" t="s">
        <v>14</v>
      </c>
      <c r="B46" s="6">
        <v>0.957235257003792</v>
      </c>
      <c r="C46" s="6">
        <v>0.961520770738795</v>
      </c>
      <c r="D46" s="6">
        <v>0.903836359778844</v>
      </c>
      <c r="E46" s="6">
        <v>0.855804843634883</v>
      </c>
      <c r="F46" s="6">
        <v>0.907809074189551</v>
      </c>
      <c r="G46" s="6">
        <v>0.875618097914812</v>
      </c>
      <c r="H46" s="6">
        <v>2.88096063138852</v>
      </c>
      <c r="I46" s="6">
        <v>1.39551366823226</v>
      </c>
      <c r="J46" s="6">
        <v>0.00840356828433785</v>
      </c>
      <c r="K46" s="6">
        <v>0.0178544349148885</v>
      </c>
      <c r="L46" s="6">
        <v>0.0311210713928317</v>
      </c>
      <c r="M46" s="6">
        <v>0.0455863688878153</v>
      </c>
      <c r="N46" s="6">
        <v>0.0246208034513663</v>
      </c>
      <c r="O46" s="6">
        <v>0.0224514083640729</v>
      </c>
      <c r="P46" s="6">
        <v>1.23131767853766</v>
      </c>
      <c r="Q46" s="6">
        <v>0.661174631398262</v>
      </c>
    </row>
    <row r="47">
      <c r="A47" s="5" t="s">
        <v>15</v>
      </c>
      <c r="B47" s="6">
        <v>0.839998928198255</v>
      </c>
      <c r="C47" s="6">
        <v>0.732167389334553</v>
      </c>
      <c r="D47" s="6">
        <v>0.634814432003952</v>
      </c>
      <c r="E47" s="6">
        <v>0.637944628750972</v>
      </c>
      <c r="F47" s="6">
        <v>0.535514953552228</v>
      </c>
      <c r="G47" s="6">
        <v>0.528345131166277</v>
      </c>
      <c r="H47" s="6">
        <v>1.76867540226891</v>
      </c>
      <c r="I47" s="6">
        <v>14.2314317779055</v>
      </c>
      <c r="J47" s="6">
        <v>0.00742816476170406</v>
      </c>
      <c r="K47" s="6">
        <v>0.0364127015871732</v>
      </c>
      <c r="L47" s="6">
        <v>0.0284529454706547</v>
      </c>
      <c r="M47" s="6">
        <v>0.0736174981422178</v>
      </c>
      <c r="N47" s="6">
        <v>0.0260878065412358</v>
      </c>
      <c r="O47" s="6">
        <v>0.043677516191345</v>
      </c>
      <c r="P47" s="6">
        <v>0.918935100815702</v>
      </c>
      <c r="Q47" s="6">
        <v>1.40053680598368</v>
      </c>
    </row>
    <row r="48">
      <c r="A48" s="5" t="s">
        <v>16</v>
      </c>
      <c r="B48" s="6">
        <v>0.892953996684793</v>
      </c>
      <c r="C48" s="6">
        <v>0.91380440455363</v>
      </c>
      <c r="D48" s="6">
        <v>0.857860784087873</v>
      </c>
      <c r="E48" s="6">
        <v>0.836208442001557</v>
      </c>
      <c r="F48" s="6">
        <v>0.839935070143853</v>
      </c>
      <c r="G48" s="6">
        <v>0.837359013951092</v>
      </c>
      <c r="H48" s="6">
        <v>5.54064265331634</v>
      </c>
      <c r="I48" s="6">
        <v>5.16395767820426</v>
      </c>
      <c r="J48" s="6">
        <v>0.00735047695993643</v>
      </c>
      <c r="K48" s="6">
        <v>0.00904063851180237</v>
      </c>
      <c r="L48" s="6">
        <v>0.0113402307334465</v>
      </c>
      <c r="M48" s="6">
        <v>0.0128469448020959</v>
      </c>
      <c r="N48" s="6">
        <v>0.0175657402541285</v>
      </c>
      <c r="O48" s="6">
        <v>0.0116978526227733</v>
      </c>
      <c r="P48" s="6">
        <v>0.992750047946622</v>
      </c>
      <c r="Q48" s="6">
        <v>0.907061102008007</v>
      </c>
    </row>
    <row r="49">
      <c r="A49" s="5" t="s">
        <v>17</v>
      </c>
      <c r="B49" s="6">
        <v>0.965271172632861</v>
      </c>
      <c r="C49" s="6">
        <v>0.980680576675211</v>
      </c>
      <c r="D49" s="6">
        <v>0.98002495109883</v>
      </c>
      <c r="E49" s="6">
        <v>0.949839636148056</v>
      </c>
      <c r="F49" s="6">
        <v>0.968627960865569</v>
      </c>
      <c r="G49" s="6">
        <v>0.958223107626456</v>
      </c>
      <c r="H49" s="6">
        <v>0.690164506787702</v>
      </c>
      <c r="I49" s="6">
        <v>2.78271822992613</v>
      </c>
      <c r="J49" s="6">
        <v>0.0131897822760582</v>
      </c>
      <c r="K49" s="6">
        <v>0.0102198186894441</v>
      </c>
      <c r="L49" s="6">
        <v>0.0113241113288468</v>
      </c>
      <c r="M49" s="6">
        <v>0.0189849317208071</v>
      </c>
      <c r="N49" s="6">
        <v>0.0112096671032834</v>
      </c>
      <c r="O49" s="6">
        <v>0.0152546145312572</v>
      </c>
      <c r="P49" s="6">
        <v>0.433603024525793</v>
      </c>
      <c r="Q49" s="6">
        <v>1.30852262903713</v>
      </c>
    </row>
    <row r="50">
      <c r="A50" s="5" t="s">
        <v>18</v>
      </c>
      <c r="B50" s="6">
        <v>0.637570663194498</v>
      </c>
      <c r="C50" s="6">
        <v>0.600813708554952</v>
      </c>
      <c r="D50" s="6">
        <v>0.58487552800879</v>
      </c>
      <c r="E50" s="6">
        <v>0.592958776312508</v>
      </c>
      <c r="F50" s="6">
        <v>0.566060435163524</v>
      </c>
      <c r="G50" s="6">
        <v>0.552543670563321</v>
      </c>
      <c r="H50" s="6">
        <v>9.33220084948798</v>
      </c>
      <c r="I50" s="6">
        <v>26.9107328310621</v>
      </c>
      <c r="J50" s="6">
        <v>0.0464880003730577</v>
      </c>
      <c r="K50" s="6">
        <v>0.082382369248411</v>
      </c>
      <c r="L50" s="6">
        <v>0.0563143993748496</v>
      </c>
      <c r="M50" s="6">
        <v>0.0621039166815388</v>
      </c>
      <c r="N50" s="6">
        <v>0.0586145059562313</v>
      </c>
      <c r="O50" s="6">
        <v>0.067649040632923</v>
      </c>
      <c r="P50" s="6">
        <v>2.34208418868838</v>
      </c>
      <c r="Q50" s="6">
        <v>4.42257950983551</v>
      </c>
    </row>
    <row r="51">
      <c r="A51" s="5" t="s">
        <v>19</v>
      </c>
      <c r="B51" s="6">
        <v>0.851853169800859</v>
      </c>
      <c r="C51" s="6">
        <v>0.396505738888956</v>
      </c>
      <c r="D51" s="6">
        <v>0.475767761596273</v>
      </c>
      <c r="E51" s="6">
        <v>0.425926584900429</v>
      </c>
      <c r="F51" s="6">
        <v>0.5</v>
      </c>
      <c r="G51" s="6">
        <v>0.459996639510761</v>
      </c>
      <c r="H51" s="6">
        <v>0.0</v>
      </c>
      <c r="I51" s="6">
        <v>14.814683019914</v>
      </c>
      <c r="J51" s="6">
        <v>0.00488132436084362</v>
      </c>
      <c r="K51" s="6">
        <v>0.0827001999694923</v>
      </c>
      <c r="L51" s="6">
        <v>0.0271371096816052</v>
      </c>
      <c r="M51" s="6">
        <v>0.00244066218042178</v>
      </c>
      <c r="N51" s="6">
        <v>0.0</v>
      </c>
      <c r="O51" s="6">
        <v>0.00142068738958472</v>
      </c>
      <c r="P51" s="6">
        <v>0.0</v>
      </c>
      <c r="Q51" s="6">
        <v>0.48813243608436</v>
      </c>
    </row>
    <row r="52">
      <c r="A52" s="5" t="s">
        <v>20</v>
      </c>
      <c r="B52" s="6">
        <v>0.936264297838639</v>
      </c>
      <c r="C52" s="6">
        <v>0.793692890366424</v>
      </c>
      <c r="D52" s="6">
        <v>0.662865242658485</v>
      </c>
      <c r="E52" s="6">
        <v>0.468132148919319</v>
      </c>
      <c r="F52" s="6">
        <v>0.5</v>
      </c>
      <c r="G52" s="6">
        <v>0.483531299749648</v>
      </c>
      <c r="H52" s="6">
        <v>0.0</v>
      </c>
      <c r="I52" s="6">
        <v>6.37357021613604</v>
      </c>
      <c r="J52" s="6">
        <v>0.00864450601757729</v>
      </c>
      <c r="K52" s="6">
        <v>0.131439347114639</v>
      </c>
      <c r="L52" s="6">
        <v>0.0696001190772735</v>
      </c>
      <c r="M52" s="6">
        <v>0.00432225300878865</v>
      </c>
      <c r="N52" s="6">
        <v>0.0</v>
      </c>
      <c r="O52" s="6">
        <v>0.00230265048666785</v>
      </c>
      <c r="P52" s="6">
        <v>0.0</v>
      </c>
      <c r="Q52" s="6">
        <v>0.864450601757729</v>
      </c>
    </row>
    <row r="53">
      <c r="A53" s="5" t="s">
        <v>21</v>
      </c>
      <c r="B53" s="6">
        <v>0.884441697251738</v>
      </c>
      <c r="C53" s="6">
        <v>0.93912820225548</v>
      </c>
      <c r="D53" s="6">
        <v>0.931768210392983</v>
      </c>
      <c r="E53" s="6">
        <v>0.885988725689607</v>
      </c>
      <c r="F53" s="6">
        <v>0.88327850545843</v>
      </c>
      <c r="G53" s="6">
        <v>0.883569445874852</v>
      </c>
      <c r="H53" s="6">
        <v>6.07581177444091</v>
      </c>
      <c r="I53" s="6">
        <v>5.48001850038525</v>
      </c>
      <c r="J53" s="6">
        <v>0.0175020237519247</v>
      </c>
      <c r="K53" s="6">
        <v>0.00332780224015247</v>
      </c>
      <c r="L53" s="6">
        <v>0.0062351361719865</v>
      </c>
      <c r="M53" s="6">
        <v>0.017215993492903</v>
      </c>
      <c r="N53" s="6">
        <v>0.0155442606968866</v>
      </c>
      <c r="O53" s="6">
        <v>0.0172205881267623</v>
      </c>
      <c r="P53" s="6">
        <v>1.04745994122422</v>
      </c>
      <c r="Q53" s="6">
        <v>2.5059459069324</v>
      </c>
    </row>
    <row r="54">
      <c r="A54" s="5" t="s">
        <v>22</v>
      </c>
      <c r="B54" s="6">
        <v>0.360443532397096</v>
      </c>
      <c r="C54" s="6">
        <v>0.678009717739164</v>
      </c>
      <c r="D54" s="6">
        <v>0.669143309117577</v>
      </c>
      <c r="E54" s="6">
        <v>0.593299883324314</v>
      </c>
      <c r="F54" s="6">
        <v>0.528669931922262</v>
      </c>
      <c r="G54" s="6">
        <v>0.317844211674608</v>
      </c>
      <c r="H54" s="6">
        <v>0.760983041434004</v>
      </c>
      <c r="I54" s="6">
        <v>63.1946637188563</v>
      </c>
      <c r="J54" s="6">
        <v>0.0281050395258893</v>
      </c>
      <c r="K54" s="6">
        <v>0.0998469111737331</v>
      </c>
      <c r="L54" s="6">
        <v>0.0741536877069053</v>
      </c>
      <c r="M54" s="6">
        <v>0.0454821095014236</v>
      </c>
      <c r="N54" s="6">
        <v>0.0232631511765706</v>
      </c>
      <c r="O54" s="6">
        <v>0.0365433774374665</v>
      </c>
      <c r="P54" s="6">
        <v>0.49950035706606</v>
      </c>
      <c r="Q54" s="6">
        <v>2.45908536174895</v>
      </c>
    </row>
    <row r="55">
      <c r="A55" s="5" t="s">
        <v>23</v>
      </c>
      <c r="B55" s="6">
        <v>0.74839105246306</v>
      </c>
      <c r="C55" s="6">
        <v>0.865493899065289</v>
      </c>
      <c r="D55" s="6">
        <v>0.847807144851946</v>
      </c>
      <c r="E55" s="6">
        <v>0.769997154186089</v>
      </c>
      <c r="F55" s="6">
        <v>0.728859104932965</v>
      </c>
      <c r="G55" s="6">
        <v>0.729467012896666</v>
      </c>
      <c r="H55" s="6">
        <v>5.54467590526934</v>
      </c>
      <c r="I55" s="6">
        <v>19.6162188484246</v>
      </c>
      <c r="J55" s="6">
        <v>0.0262454539276861</v>
      </c>
      <c r="K55" s="6">
        <v>0.0165828069236718</v>
      </c>
      <c r="L55" s="6">
        <v>0.015848484428409</v>
      </c>
      <c r="M55" s="6">
        <v>0.0169795239733061</v>
      </c>
      <c r="N55" s="6">
        <v>0.0297147555766996</v>
      </c>
      <c r="O55" s="6">
        <v>0.0341932379375951</v>
      </c>
      <c r="P55" s="6">
        <v>1.43795748719679</v>
      </c>
      <c r="Q55" s="6">
        <v>3.61667450043327</v>
      </c>
    </row>
    <row r="56">
      <c r="A56" s="5" t="s">
        <v>24</v>
      </c>
      <c r="B56" s="6">
        <v>0.424292599038429</v>
      </c>
      <c r="C56" s="6">
        <v>0.584539009745029</v>
      </c>
      <c r="D56" s="6">
        <v>0.580862718120688</v>
      </c>
      <c r="E56" s="6">
        <v>0.654779784151656</v>
      </c>
      <c r="F56" s="6">
        <v>0.561431717107056</v>
      </c>
      <c r="G56" s="6">
        <v>0.388464175673315</v>
      </c>
      <c r="H56" s="6">
        <v>0.673184170585032</v>
      </c>
      <c r="I56" s="6">
        <v>56.897555925572</v>
      </c>
      <c r="J56" s="6">
        <v>0.0345205009456911</v>
      </c>
      <c r="K56" s="6">
        <v>0.146196926983911</v>
      </c>
      <c r="L56" s="6">
        <v>0.0804966428127505</v>
      </c>
      <c r="M56" s="6">
        <v>0.00984176880001446</v>
      </c>
      <c r="N56" s="6">
        <v>0.0228728829427747</v>
      </c>
      <c r="O56" s="6">
        <v>0.0503636128399974</v>
      </c>
      <c r="P56" s="6">
        <v>0.526793731584179</v>
      </c>
      <c r="Q56" s="6">
        <v>3.87979316053909</v>
      </c>
    </row>
    <row r="57">
      <c r="A57" s="5" t="s">
        <v>25</v>
      </c>
      <c r="B57" s="6">
        <v>0.701152021314451</v>
      </c>
      <c r="C57" s="6">
        <v>0.755262270252146</v>
      </c>
      <c r="D57" s="6">
        <v>0.71898839108272</v>
      </c>
      <c r="E57" s="6">
        <v>0.685021151476888</v>
      </c>
      <c r="F57" s="6">
        <v>0.681291327013272</v>
      </c>
      <c r="G57" s="6">
        <v>0.680411412198498</v>
      </c>
      <c r="H57" s="6">
        <v>14.5827594034936</v>
      </c>
      <c r="I57" s="6">
        <v>15.3020384650612</v>
      </c>
      <c r="J57" s="6">
        <v>0.00882739831726747</v>
      </c>
      <c r="K57" s="6">
        <v>0.0168008602179903</v>
      </c>
      <c r="L57" s="6">
        <v>0.0198357723026098</v>
      </c>
      <c r="M57" s="6">
        <v>0.0137456803541354</v>
      </c>
      <c r="N57" s="6">
        <v>0.0222789551058657</v>
      </c>
      <c r="O57" s="6">
        <v>0.0171598909080286</v>
      </c>
      <c r="P57" s="6">
        <v>2.67164569745348</v>
      </c>
      <c r="Q57" s="6">
        <v>3.27070933616227</v>
      </c>
    </row>
    <row r="58">
      <c r="A58" s="5" t="s">
        <v>26</v>
      </c>
      <c r="B58" s="6">
        <v>0.918114954774761</v>
      </c>
      <c r="C58" s="6">
        <v>0.939880768192187</v>
      </c>
      <c r="D58" s="6">
        <v>0.930125109042183</v>
      </c>
      <c r="E58" s="6">
        <v>0.911662812351225</v>
      </c>
      <c r="F58" s="6">
        <v>0.911049334768536</v>
      </c>
      <c r="G58" s="6">
        <v>0.911109185198928</v>
      </c>
      <c r="H58" s="6">
        <v>4.10500850154844</v>
      </c>
      <c r="I58" s="6">
        <v>4.08349602097545</v>
      </c>
      <c r="J58" s="6">
        <v>0.0120980572248977</v>
      </c>
      <c r="K58" s="6">
        <v>0.0120524135419261</v>
      </c>
      <c r="L58" s="6">
        <v>0.0139026939633304</v>
      </c>
      <c r="M58" s="6">
        <v>0.0141051611315783</v>
      </c>
      <c r="N58" s="6">
        <v>0.0109314164935281</v>
      </c>
      <c r="O58" s="6">
        <v>0.012277025700772</v>
      </c>
      <c r="P58" s="6">
        <v>1.18357553016023</v>
      </c>
      <c r="Q58" s="6">
        <v>0.669129861221761</v>
      </c>
    </row>
    <row r="59">
      <c r="A59" s="5" t="s">
        <v>27</v>
      </c>
      <c r="B59" s="6">
        <f t="shared" ref="B59:Q59" si="5">MEDIAN(B43:B58)</f>
        <v>0.8596944723</v>
      </c>
      <c r="C59" s="6">
        <f t="shared" si="5"/>
        <v>0.8237599573</v>
      </c>
      <c r="D59" s="6">
        <f t="shared" si="5"/>
        <v>0.7492119678</v>
      </c>
      <c r="E59" s="6">
        <f t="shared" si="5"/>
        <v>0.7445182393</v>
      </c>
      <c r="F59" s="6">
        <f t="shared" si="5"/>
        <v>0.705075216</v>
      </c>
      <c r="G59" s="6">
        <f t="shared" si="5"/>
        <v>0.7089994053</v>
      </c>
      <c r="H59" s="6">
        <f t="shared" si="5"/>
        <v>4.009377857</v>
      </c>
      <c r="I59" s="6">
        <f t="shared" si="5"/>
        <v>6.389930325</v>
      </c>
      <c r="J59" s="6">
        <f t="shared" si="5"/>
        <v>0.01264391975</v>
      </c>
      <c r="K59" s="6">
        <f t="shared" si="5"/>
        <v>0.02713356825</v>
      </c>
      <c r="L59" s="6">
        <f t="shared" si="5"/>
        <v>0.02779502758</v>
      </c>
      <c r="M59" s="6">
        <f t="shared" si="5"/>
        <v>0.01725392359</v>
      </c>
      <c r="N59" s="6">
        <f t="shared" si="5"/>
        <v>0.02306801706</v>
      </c>
      <c r="O59" s="6">
        <f t="shared" si="5"/>
        <v>0.02175462232</v>
      </c>
      <c r="P59" s="6">
        <f t="shared" si="5"/>
        <v>1.020104995</v>
      </c>
      <c r="Q59" s="6">
        <f t="shared" si="5"/>
        <v>1.567379538</v>
      </c>
    </row>
    <row r="60">
      <c r="A60" s="5" t="s">
        <v>28</v>
      </c>
      <c r="B60" s="6">
        <f>MEDIAN(B43:B58)</f>
        <v>0.8596944723</v>
      </c>
      <c r="C60" s="6">
        <f t="shared" ref="C60:Q60" si="6">AVERAGE(C43:C58)</f>
        <v>0.7937336808</v>
      </c>
      <c r="D60" s="6">
        <f t="shared" si="6"/>
        <v>0.7580250807</v>
      </c>
      <c r="E60" s="6">
        <f t="shared" si="6"/>
        <v>0.724029131</v>
      </c>
      <c r="F60" s="6">
        <f t="shared" si="6"/>
        <v>0.7093091637</v>
      </c>
      <c r="G60" s="6">
        <f t="shared" si="6"/>
        <v>0.6789403976</v>
      </c>
      <c r="H60" s="6">
        <f t="shared" si="6"/>
        <v>4.69290822</v>
      </c>
      <c r="I60" s="6">
        <f t="shared" si="6"/>
        <v>15.91399758</v>
      </c>
      <c r="J60" s="6">
        <f t="shared" si="6"/>
        <v>0.0173776902</v>
      </c>
      <c r="K60" s="6">
        <f t="shared" si="6"/>
        <v>0.04776434888</v>
      </c>
      <c r="L60" s="6">
        <f t="shared" si="6"/>
        <v>0.03309350229</v>
      </c>
      <c r="M60" s="6">
        <f t="shared" si="6"/>
        <v>0.02545113749</v>
      </c>
      <c r="N60" s="6">
        <f t="shared" si="6"/>
        <v>0.02353030704</v>
      </c>
      <c r="O60" s="6">
        <f t="shared" si="6"/>
        <v>0.02644592202</v>
      </c>
      <c r="P60" s="6">
        <f t="shared" si="6"/>
        <v>1.309342275</v>
      </c>
      <c r="Q60" s="6">
        <f t="shared" si="6"/>
        <v>1.96643889</v>
      </c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</sheetData>
  <mergeCells count="3">
    <mergeCell ref="J1:Q1"/>
    <mergeCell ref="J21:Q21"/>
    <mergeCell ref="J41:Q41"/>
  </mergeCells>
  <drawing r:id="rId1"/>
</worksheet>
</file>