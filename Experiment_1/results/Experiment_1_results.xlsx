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X Bin" sheetId="1" r:id="rId5"/>
  </sheets>
  <definedNames/>
  <calcPr/>
</workbook>
</file>

<file path=xl/sharedStrings.xml><?xml version="1.0" encoding="utf-8"?>
<sst xmlns="http://schemas.openxmlformats.org/spreadsheetml/2006/main" count="185" uniqueCount="26">
  <si>
    <t>Phoenix Train</t>
  </si>
  <si>
    <t>Phoenix Test</t>
  </si>
  <si>
    <t>VITEK Test</t>
  </si>
  <si>
    <t>MicroScan Test</t>
  </si>
  <si>
    <t>Target</t>
  </si>
  <si>
    <t>Train_Count_S</t>
  </si>
  <si>
    <t>Train_Count_R</t>
  </si>
  <si>
    <t>Accuracy</t>
  </si>
  <si>
    <t>ROC_Mean</t>
  </si>
  <si>
    <t>F1_Mean</t>
  </si>
  <si>
    <t>Test_Count_S</t>
  </si>
  <si>
    <t>Test_Count_R</t>
  </si>
  <si>
    <t>Diff VITEK Test</t>
  </si>
  <si>
    <t>Ciprofloxacin</t>
  </si>
  <si>
    <t>Concordance</t>
  </si>
  <si>
    <t>Gentamicin</t>
  </si>
  <si>
    <t>Levofloxacin</t>
  </si>
  <si>
    <t>-</t>
  </si>
  <si>
    <t>Tobramycin</t>
  </si>
  <si>
    <t>Diff MicroScan Test</t>
  </si>
  <si>
    <t>Phoenix Baseline</t>
  </si>
  <si>
    <t>ROC</t>
  </si>
  <si>
    <t>F1 Score</t>
  </si>
  <si>
    <t>Sample count</t>
  </si>
  <si>
    <t>Train S</t>
  </si>
  <si>
    <t>Train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</si>
</sst>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2" xfId="0" applyAlignment="1" applyBorder="1" applyFont="1" applyNumberFormat="1">
      <alignment horizontal="center" readingOrder="0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2" fontId="2" numFmtId="0" xfId="0" applyAlignment="1" applyBorder="1" applyFont="1">
      <alignment horizontal="center" readingOrder="0" vertical="top"/>
    </xf>
    <xf borderId="2" fillId="4" fontId="4" numFmtId="0" xfId="0" applyAlignment="1" applyBorder="1" applyFill="1" applyFont="1">
      <alignment horizontal="center" readingOrder="0" vertical="bottom"/>
    </xf>
    <xf borderId="3" fillId="0" fontId="5" numFmtId="0" xfId="0" applyBorder="1" applyFont="1"/>
    <xf borderId="4" fillId="0" fontId="5" numFmtId="0" xfId="0" applyBorder="1" applyFont="1"/>
    <xf borderId="1" fillId="3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</cellXfs>
  <cellStyles count="1">
    <cellStyle xfId="0" name="Normal" builtinId="0"/>
  </cellStyles>
  <dxfs count="2"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13.75"/>
    <col customWidth="1" min="21" max="21" width="11.63"/>
    <col customWidth="1" min="22" max="22" width="11.38"/>
    <col customWidth="1" min="23" max="25" width="10.0"/>
  </cols>
  <sheetData>
    <row r="1">
      <c r="C1" s="1" t="s">
        <v>0</v>
      </c>
      <c r="E1" s="1" t="s">
        <v>1</v>
      </c>
      <c r="J1" s="1" t="s">
        <v>2</v>
      </c>
      <c r="O1" s="1" t="s">
        <v>3</v>
      </c>
    </row>
    <row r="2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U2" s="3" t="s">
        <v>12</v>
      </c>
    </row>
    <row r="3">
      <c r="B3" s="4" t="s">
        <v>13</v>
      </c>
      <c r="C3" s="5">
        <v>68.0</v>
      </c>
      <c r="D3" s="5">
        <v>384.0</v>
      </c>
      <c r="E3" s="6">
        <v>0.921348314606741</v>
      </c>
      <c r="F3" s="6">
        <v>0.812658227848101</v>
      </c>
      <c r="G3" s="6">
        <v>0.793776895067858</v>
      </c>
      <c r="H3" s="5">
        <v>20.0</v>
      </c>
      <c r="I3" s="5">
        <v>158.0</v>
      </c>
      <c r="J3" s="6">
        <v>0.915730337078651</v>
      </c>
      <c r="K3" s="6">
        <v>0.783287837427964</v>
      </c>
      <c r="L3" s="6">
        <v>0.784033001698616</v>
      </c>
      <c r="M3" s="5">
        <v>21.0</v>
      </c>
      <c r="N3" s="5">
        <v>157.0</v>
      </c>
      <c r="O3" s="6">
        <v>0.932584269662921</v>
      </c>
      <c r="P3" s="6">
        <v>0.800520833333333</v>
      </c>
      <c r="Q3" s="6">
        <v>0.814583333333333</v>
      </c>
      <c r="R3" s="5">
        <v>18.0</v>
      </c>
      <c r="S3" s="5">
        <v>160.0</v>
      </c>
      <c r="U3" s="2" t="s">
        <v>4</v>
      </c>
      <c r="V3" s="2" t="s">
        <v>14</v>
      </c>
      <c r="W3" s="2" t="s">
        <v>7</v>
      </c>
      <c r="X3" s="2" t="s">
        <v>8</v>
      </c>
      <c r="Y3" s="2" t="s">
        <v>9</v>
      </c>
    </row>
    <row r="4">
      <c r="B4" s="4" t="s">
        <v>15</v>
      </c>
      <c r="C4" s="5">
        <v>54.0</v>
      </c>
      <c r="D4" s="5">
        <v>398.0</v>
      </c>
      <c r="E4" s="6">
        <v>0.935483870967741</v>
      </c>
      <c r="F4" s="6">
        <v>0.8634375</v>
      </c>
      <c r="G4" s="6">
        <v>0.822960372960372</v>
      </c>
      <c r="H4" s="5">
        <v>25.0</v>
      </c>
      <c r="I4" s="5">
        <v>192.0</v>
      </c>
      <c r="J4" s="6">
        <v>0.930875576036866</v>
      </c>
      <c r="K4" s="6">
        <v>0.860516934046345</v>
      </c>
      <c r="L4" s="6">
        <v>0.827458256029684</v>
      </c>
      <c r="M4" s="5">
        <v>30.0</v>
      </c>
      <c r="N4" s="5">
        <v>187.0</v>
      </c>
      <c r="O4" s="6">
        <v>0.944700460829493</v>
      </c>
      <c r="P4" s="6">
        <v>0.874269005847953</v>
      </c>
      <c r="Q4" s="6">
        <v>0.826953748006379</v>
      </c>
      <c r="R4" s="5">
        <v>19.0</v>
      </c>
      <c r="S4" s="5">
        <v>198.0</v>
      </c>
      <c r="U4" s="4" t="s">
        <v>13</v>
      </c>
      <c r="V4" s="6">
        <v>0.991031390134529</v>
      </c>
      <c r="W4" s="6">
        <v>0.008968609865470989</v>
      </c>
      <c r="X4" s="6">
        <v>0.005617977528090012</v>
      </c>
      <c r="Y4" s="6">
        <v>0.029370390420137005</v>
      </c>
    </row>
    <row r="5">
      <c r="B5" s="4" t="s">
        <v>16</v>
      </c>
      <c r="C5" s="5">
        <v>90.0</v>
      </c>
      <c r="D5" s="5">
        <v>362.0</v>
      </c>
      <c r="E5" s="6">
        <v>0.806818181818181</v>
      </c>
      <c r="F5" s="6">
        <v>0.894191638919718</v>
      </c>
      <c r="G5" s="6">
        <v>0.658447488584474</v>
      </c>
      <c r="H5" s="5">
        <v>17.0</v>
      </c>
      <c r="I5" s="5">
        <v>159.0</v>
      </c>
      <c r="J5" s="6">
        <v>0.801136363636363</v>
      </c>
      <c r="K5" s="6">
        <v>0.887890625</v>
      </c>
      <c r="L5" s="6">
        <v>0.643662868051136</v>
      </c>
      <c r="M5" s="5">
        <v>16.0</v>
      </c>
      <c r="N5" s="5">
        <v>160.0</v>
      </c>
      <c r="O5" s="6" t="s">
        <v>17</v>
      </c>
      <c r="P5" s="6" t="s">
        <v>17</v>
      </c>
      <c r="Q5" s="6" t="s">
        <v>17</v>
      </c>
      <c r="R5" s="5">
        <v>0.0</v>
      </c>
      <c r="S5" s="5">
        <v>0.0</v>
      </c>
      <c r="U5" s="4" t="s">
        <v>15</v>
      </c>
      <c r="V5" s="6">
        <v>0.969581749049429</v>
      </c>
      <c r="W5" s="6">
        <v>0.030418250950571046</v>
      </c>
      <c r="X5" s="6">
        <v>0.004608294930875001</v>
      </c>
      <c r="Y5" s="6">
        <v>0.0029205659536549744</v>
      </c>
    </row>
    <row r="6">
      <c r="B6" s="4" t="s">
        <v>18</v>
      </c>
      <c r="C6" s="5">
        <v>164.0</v>
      </c>
      <c r="D6" s="5">
        <v>288.0</v>
      </c>
      <c r="E6" s="6">
        <v>0.894009216589861</v>
      </c>
      <c r="F6" s="6">
        <v>0.92764817150063</v>
      </c>
      <c r="G6" s="6">
        <v>0.862404543324235</v>
      </c>
      <c r="H6" s="5">
        <v>61.0</v>
      </c>
      <c r="I6" s="5">
        <v>156.0</v>
      </c>
      <c r="J6" s="6">
        <v>0.585253456221198</v>
      </c>
      <c r="K6" s="6">
        <v>0.756771799628942</v>
      </c>
      <c r="L6" s="6">
        <v>0.579674586776859</v>
      </c>
      <c r="M6" s="5">
        <v>140.0</v>
      </c>
      <c r="N6" s="5">
        <v>77.0</v>
      </c>
      <c r="O6" s="6">
        <v>0.870967741935483</v>
      </c>
      <c r="P6" s="6">
        <v>0.892016317016317</v>
      </c>
      <c r="Q6" s="6">
        <v>0.822960372960372</v>
      </c>
      <c r="R6" s="5">
        <v>52.0</v>
      </c>
      <c r="S6" s="5">
        <v>165.0</v>
      </c>
      <c r="U6" s="4" t="s">
        <v>16</v>
      </c>
      <c r="V6" s="6">
        <v>0.995475113122172</v>
      </c>
      <c r="W6" s="6">
        <v>0.004524886877828038</v>
      </c>
      <c r="X6" s="6">
        <v>0.00568181818181801</v>
      </c>
      <c r="Y6" s="6">
        <v>0.006301013919717935</v>
      </c>
    </row>
    <row r="7">
      <c r="B7" s="3" t="s">
        <v>1</v>
      </c>
      <c r="U7" s="4" t="s">
        <v>18</v>
      </c>
      <c r="V7" s="6">
        <v>0.680608365019011</v>
      </c>
      <c r="W7" s="6">
        <v>0.319391634980989</v>
      </c>
      <c r="X7" s="6">
        <v>0.30875576036866303</v>
      </c>
      <c r="Y7" s="6">
        <v>0.17087637187168792</v>
      </c>
    </row>
    <row r="8">
      <c r="B8" s="2" t="s">
        <v>4</v>
      </c>
      <c r="C8" s="2" t="s">
        <v>7</v>
      </c>
      <c r="D8" s="2" t="s">
        <v>8</v>
      </c>
      <c r="E8" s="2" t="s">
        <v>9</v>
      </c>
      <c r="I8" s="3" t="s">
        <v>12</v>
      </c>
      <c r="U8" s="3" t="s">
        <v>19</v>
      </c>
    </row>
    <row r="9">
      <c r="B9" s="4" t="s">
        <v>13</v>
      </c>
      <c r="C9" s="6">
        <v>0.921348314606741</v>
      </c>
      <c r="D9" s="6">
        <v>0.812658227848101</v>
      </c>
      <c r="E9" s="6">
        <v>0.793776895067858</v>
      </c>
      <c r="I9" s="2" t="s">
        <v>4</v>
      </c>
      <c r="J9" s="2" t="s">
        <v>7</v>
      </c>
      <c r="K9" s="2" t="s">
        <v>8</v>
      </c>
      <c r="L9" s="2" t="s">
        <v>9</v>
      </c>
      <c r="U9" s="2" t="s">
        <v>4</v>
      </c>
      <c r="V9" s="2" t="s">
        <v>14</v>
      </c>
      <c r="W9" s="2" t="s">
        <v>7</v>
      </c>
      <c r="X9" s="2" t="s">
        <v>8</v>
      </c>
      <c r="Y9" s="2" t="s">
        <v>9</v>
      </c>
    </row>
    <row r="10">
      <c r="B10" s="4" t="s">
        <v>15</v>
      </c>
      <c r="C10" s="6">
        <v>0.935483870967741</v>
      </c>
      <c r="D10" s="6">
        <v>0.8634375</v>
      </c>
      <c r="E10" s="6">
        <v>0.822960372960372</v>
      </c>
      <c r="I10" s="4" t="s">
        <v>13</v>
      </c>
      <c r="J10" s="6">
        <f t="shared" ref="J10:L10" si="1">C27-C33</f>
        <v>0.008968609865</v>
      </c>
      <c r="K10" s="6">
        <f t="shared" si="1"/>
        <v>0.005617977528</v>
      </c>
      <c r="L10" s="6">
        <f t="shared" si="1"/>
        <v>0.02937039042</v>
      </c>
      <c r="U10" s="4" t="s">
        <v>13</v>
      </c>
      <c r="V10" s="6">
        <v>0.96788990825688</v>
      </c>
      <c r="W10" s="6">
        <v>-0.011235955056179914</v>
      </c>
      <c r="X10" s="6">
        <v>0.01213739451476803</v>
      </c>
      <c r="Y10" s="6">
        <v>-0.020806438265475014</v>
      </c>
    </row>
    <row r="11">
      <c r="B11" s="4" t="s">
        <v>16</v>
      </c>
      <c r="C11" s="6">
        <v>0.806818181818181</v>
      </c>
      <c r="D11" s="6">
        <v>0.894191638919718</v>
      </c>
      <c r="E11" s="6">
        <v>0.658447488584474</v>
      </c>
      <c r="I11" s="4" t="s">
        <v>15</v>
      </c>
      <c r="J11" s="6">
        <f t="shared" ref="J11:L11" si="2">C28-C34</f>
        <v>0.03041825095</v>
      </c>
      <c r="K11" s="6">
        <f t="shared" si="2"/>
        <v>0.004608294931</v>
      </c>
      <c r="L11" s="6">
        <f t="shared" si="2"/>
        <v>0.002920565954</v>
      </c>
      <c r="U11" s="4" t="s">
        <v>15</v>
      </c>
      <c r="V11" s="6">
        <v>0.963133640552995</v>
      </c>
      <c r="W11" s="6">
        <v>-0.009216589861752</v>
      </c>
      <c r="X11" s="6">
        <v>-0.010831505847953005</v>
      </c>
      <c r="Y11" s="6">
        <v>-0.003993375046006942</v>
      </c>
    </row>
    <row r="12">
      <c r="B12" s="4" t="s">
        <v>18</v>
      </c>
      <c r="C12" s="6">
        <v>0.894009216589861</v>
      </c>
      <c r="D12" s="6">
        <v>0.92764817150063</v>
      </c>
      <c r="E12" s="6">
        <v>0.862404543324235</v>
      </c>
      <c r="I12" s="4" t="s">
        <v>16</v>
      </c>
      <c r="J12" s="6">
        <f t="shared" ref="J12:L12" si="3">C29-C35</f>
        <v>0.004524886878</v>
      </c>
      <c r="K12" s="6">
        <f t="shared" si="3"/>
        <v>0.005681818182</v>
      </c>
      <c r="L12" s="6">
        <f t="shared" si="3"/>
        <v>0.00630101392</v>
      </c>
      <c r="U12" s="4" t="s">
        <v>16</v>
      </c>
      <c r="V12" s="6">
        <v>0.86697247706422</v>
      </c>
      <c r="W12" s="6" t="s">
        <v>17</v>
      </c>
      <c r="X12" s="6" t="s">
        <v>17</v>
      </c>
      <c r="Y12" s="6" t="s">
        <v>17</v>
      </c>
    </row>
    <row r="13">
      <c r="B13" s="3" t="s">
        <v>2</v>
      </c>
      <c r="I13" s="4" t="s">
        <v>18</v>
      </c>
      <c r="J13" s="6">
        <f t="shared" ref="J13:L13" si="4">C30-C36</f>
        <v>0.319391635</v>
      </c>
      <c r="K13" s="6">
        <f t="shared" si="4"/>
        <v>0.3087557604</v>
      </c>
      <c r="L13" s="6">
        <f t="shared" si="4"/>
        <v>0.1708763719</v>
      </c>
      <c r="U13" s="4" t="s">
        <v>18</v>
      </c>
      <c r="V13" s="6">
        <v>0.930875576036866</v>
      </c>
      <c r="W13" s="6">
        <v>0.023041474654378002</v>
      </c>
      <c r="X13" s="6">
        <v>0.03563185448431294</v>
      </c>
      <c r="Y13" s="6">
        <v>0.03944417036386294</v>
      </c>
    </row>
    <row r="14">
      <c r="B14" s="2" t="s">
        <v>4</v>
      </c>
      <c r="C14" s="2" t="s">
        <v>7</v>
      </c>
      <c r="D14" s="2" t="s">
        <v>8</v>
      </c>
      <c r="E14" s="2" t="s">
        <v>9</v>
      </c>
      <c r="I14" s="3" t="s">
        <v>19</v>
      </c>
    </row>
    <row r="15">
      <c r="B15" s="4" t="s">
        <v>13</v>
      </c>
      <c r="C15" s="6">
        <v>0.915730337078651</v>
      </c>
      <c r="D15" s="6">
        <v>0.783287837427964</v>
      </c>
      <c r="E15" s="6">
        <v>0.784033001698616</v>
      </c>
      <c r="I15" s="2" t="s">
        <v>4</v>
      </c>
      <c r="J15" s="2" t="s">
        <v>7</v>
      </c>
      <c r="K15" s="2" t="s">
        <v>8</v>
      </c>
      <c r="L15" s="2" t="s">
        <v>9</v>
      </c>
    </row>
    <row r="16">
      <c r="B16" s="4" t="s">
        <v>15</v>
      </c>
      <c r="C16" s="6">
        <v>0.930875576036866</v>
      </c>
      <c r="D16" s="6">
        <v>0.860516934046345</v>
      </c>
      <c r="E16" s="6">
        <v>0.827458256029684</v>
      </c>
      <c r="I16" s="4" t="s">
        <v>13</v>
      </c>
      <c r="J16" s="6">
        <f t="shared" ref="J16:L16" si="5">D27-D39</f>
        <v>-0.01123595506</v>
      </c>
      <c r="K16" s="6">
        <f t="shared" si="5"/>
        <v>0.01213739451</v>
      </c>
      <c r="L16" s="6">
        <f t="shared" si="5"/>
        <v>-0.02080643827</v>
      </c>
    </row>
    <row r="17">
      <c r="B17" s="4" t="s">
        <v>16</v>
      </c>
      <c r="C17" s="6">
        <v>0.801136363636363</v>
      </c>
      <c r="D17" s="6">
        <v>0.887890625</v>
      </c>
      <c r="E17" s="6">
        <v>0.643662868051136</v>
      </c>
      <c r="I17" s="4" t="s">
        <v>15</v>
      </c>
      <c r="J17" s="6">
        <f t="shared" ref="J17:L17" si="6">D28-D40</f>
        <v>-0.009216589862</v>
      </c>
      <c r="K17" s="6">
        <f t="shared" si="6"/>
        <v>-0.01083150585</v>
      </c>
      <c r="L17" s="6">
        <f t="shared" si="6"/>
        <v>-0.003993375046</v>
      </c>
    </row>
    <row r="18">
      <c r="B18" s="4" t="s">
        <v>18</v>
      </c>
      <c r="C18" s="6">
        <v>0.585253456221198</v>
      </c>
      <c r="D18" s="6">
        <v>0.756771799628942</v>
      </c>
      <c r="E18" s="6">
        <v>0.579674586776859</v>
      </c>
      <c r="I18" s="4" t="s">
        <v>16</v>
      </c>
      <c r="J18" s="6" t="s">
        <v>17</v>
      </c>
      <c r="K18" s="6" t="s">
        <v>17</v>
      </c>
      <c r="L18" s="6" t="s">
        <v>17</v>
      </c>
    </row>
    <row r="19">
      <c r="B19" s="3" t="s">
        <v>3</v>
      </c>
      <c r="I19" s="4" t="s">
        <v>18</v>
      </c>
      <c r="J19" s="6">
        <f t="shared" ref="J19:L19" si="7">D30-D42</f>
        <v>0.02304147465</v>
      </c>
      <c r="K19" s="6">
        <f t="shared" si="7"/>
        <v>0.03563185448</v>
      </c>
      <c r="L19" s="6">
        <f t="shared" si="7"/>
        <v>0.03944417036</v>
      </c>
    </row>
    <row r="20">
      <c r="B20" s="2" t="s">
        <v>4</v>
      </c>
      <c r="C20" s="2" t="s">
        <v>7</v>
      </c>
      <c r="D20" s="2" t="s">
        <v>8</v>
      </c>
      <c r="E20" s="2" t="s">
        <v>9</v>
      </c>
    </row>
    <row r="21">
      <c r="B21" s="4" t="s">
        <v>13</v>
      </c>
      <c r="C21" s="6">
        <v>0.932584269662921</v>
      </c>
      <c r="D21" s="6">
        <v>0.800520833333333</v>
      </c>
      <c r="E21" s="6">
        <v>0.814583333333333</v>
      </c>
    </row>
    <row r="22">
      <c r="B22" s="4" t="s">
        <v>15</v>
      </c>
      <c r="C22" s="6">
        <v>0.944700460829493</v>
      </c>
      <c r="D22" s="6">
        <v>0.874269005847953</v>
      </c>
      <c r="E22" s="6">
        <v>0.826953748006379</v>
      </c>
    </row>
    <row r="23">
      <c r="B23" s="4" t="s">
        <v>16</v>
      </c>
      <c r="C23" s="6" t="s">
        <v>17</v>
      </c>
      <c r="D23" s="6" t="s">
        <v>17</v>
      </c>
      <c r="E23" s="6" t="s">
        <v>17</v>
      </c>
    </row>
    <row r="24">
      <c r="B24" s="4" t="s">
        <v>18</v>
      </c>
      <c r="C24" s="6">
        <v>0.870967741935483</v>
      </c>
      <c r="D24" s="6">
        <v>0.892016317016317</v>
      </c>
      <c r="E24" s="6">
        <v>0.822960372960372</v>
      </c>
    </row>
    <row r="25">
      <c r="B25" s="3" t="s">
        <v>1</v>
      </c>
    </row>
    <row r="26">
      <c r="B26" s="2" t="s">
        <v>4</v>
      </c>
      <c r="C26" s="2" t="s">
        <v>14</v>
      </c>
      <c r="D26" s="2" t="s">
        <v>7</v>
      </c>
      <c r="E26" s="2" t="s">
        <v>8</v>
      </c>
      <c r="F26" s="2" t="s">
        <v>9</v>
      </c>
    </row>
    <row r="27">
      <c r="B27" s="4" t="s">
        <v>13</v>
      </c>
      <c r="C27" s="6">
        <v>1.0</v>
      </c>
      <c r="D27" s="6">
        <v>0.921348314606741</v>
      </c>
      <c r="E27" s="6">
        <v>0.812658227848101</v>
      </c>
      <c r="F27" s="6">
        <v>0.793776895067858</v>
      </c>
    </row>
    <row r="28">
      <c r="B28" s="4" t="s">
        <v>15</v>
      </c>
      <c r="C28" s="6">
        <v>1.0</v>
      </c>
      <c r="D28" s="6">
        <v>0.935483870967741</v>
      </c>
      <c r="E28" s="6">
        <v>0.8634375</v>
      </c>
      <c r="F28" s="6">
        <v>0.822960372960372</v>
      </c>
    </row>
    <row r="29">
      <c r="B29" s="4" t="s">
        <v>16</v>
      </c>
      <c r="C29" s="6">
        <v>1.0</v>
      </c>
      <c r="D29" s="6">
        <v>0.806818181818181</v>
      </c>
      <c r="E29" s="6">
        <v>0.894191638919718</v>
      </c>
      <c r="F29" s="6">
        <v>0.658447488584474</v>
      </c>
    </row>
    <row r="30">
      <c r="B30" s="4" t="s">
        <v>18</v>
      </c>
      <c r="C30" s="6">
        <v>1.0</v>
      </c>
      <c r="D30" s="6">
        <v>0.894009216589861</v>
      </c>
      <c r="E30" s="6">
        <v>0.92764817150063</v>
      </c>
      <c r="F30" s="6">
        <v>0.862404543324235</v>
      </c>
    </row>
    <row r="31">
      <c r="B31" s="3" t="s">
        <v>2</v>
      </c>
    </row>
    <row r="32">
      <c r="B32" s="2" t="s">
        <v>4</v>
      </c>
      <c r="C32" s="2" t="s">
        <v>14</v>
      </c>
      <c r="D32" s="2" t="s">
        <v>7</v>
      </c>
      <c r="E32" s="2" t="s">
        <v>8</v>
      </c>
      <c r="F32" s="2" t="s">
        <v>9</v>
      </c>
    </row>
    <row r="33">
      <c r="B33" s="4" t="s">
        <v>13</v>
      </c>
      <c r="C33" s="6">
        <v>0.991031390134529</v>
      </c>
      <c r="D33" s="6">
        <v>0.915730337078651</v>
      </c>
      <c r="E33" s="6">
        <v>0.783287837427964</v>
      </c>
      <c r="F33" s="6">
        <v>0.784033001698616</v>
      </c>
    </row>
    <row r="34">
      <c r="B34" s="4" t="s">
        <v>15</v>
      </c>
      <c r="C34" s="6">
        <v>0.969581749049429</v>
      </c>
      <c r="D34" s="6">
        <v>0.930875576036866</v>
      </c>
      <c r="E34" s="6">
        <v>0.860516934046345</v>
      </c>
      <c r="F34" s="6">
        <v>0.827458256029684</v>
      </c>
    </row>
    <row r="35">
      <c r="B35" s="4" t="s">
        <v>16</v>
      </c>
      <c r="C35" s="6">
        <v>0.995475113122172</v>
      </c>
      <c r="D35" s="6">
        <v>0.801136363636363</v>
      </c>
      <c r="E35" s="6">
        <v>0.887890625</v>
      </c>
      <c r="F35" s="6">
        <v>0.643662868051136</v>
      </c>
    </row>
    <row r="36">
      <c r="B36" s="4" t="s">
        <v>18</v>
      </c>
      <c r="C36" s="6">
        <v>0.680608365019011</v>
      </c>
      <c r="D36" s="6">
        <v>0.585253456221198</v>
      </c>
      <c r="E36" s="6">
        <v>0.756771799628942</v>
      </c>
      <c r="F36" s="6">
        <v>0.579674586776859</v>
      </c>
    </row>
    <row r="37">
      <c r="B37" s="3" t="s">
        <v>3</v>
      </c>
    </row>
    <row r="38">
      <c r="B38" s="2" t="s">
        <v>4</v>
      </c>
      <c r="C38" s="2" t="s">
        <v>14</v>
      </c>
      <c r="D38" s="2" t="s">
        <v>7</v>
      </c>
      <c r="E38" s="2" t="s">
        <v>8</v>
      </c>
      <c r="F38" s="2" t="s">
        <v>9</v>
      </c>
    </row>
    <row r="39">
      <c r="B39" s="4" t="s">
        <v>13</v>
      </c>
      <c r="C39" s="6">
        <v>0.96788990825688</v>
      </c>
      <c r="D39" s="6">
        <v>0.932584269662921</v>
      </c>
      <c r="E39" s="6">
        <v>0.800520833333333</v>
      </c>
      <c r="F39" s="6">
        <v>0.814583333333333</v>
      </c>
    </row>
    <row r="40">
      <c r="B40" s="4" t="s">
        <v>15</v>
      </c>
      <c r="C40" s="6">
        <v>0.963133640552995</v>
      </c>
      <c r="D40" s="6">
        <v>0.944700460829493</v>
      </c>
      <c r="E40" s="6">
        <v>0.874269005847953</v>
      </c>
      <c r="F40" s="6">
        <v>0.826953748006379</v>
      </c>
    </row>
    <row r="41">
      <c r="B41" s="4" t="s">
        <v>16</v>
      </c>
      <c r="C41" s="6">
        <v>0.86697247706422</v>
      </c>
      <c r="D41" s="6" t="s">
        <v>17</v>
      </c>
      <c r="E41" s="6" t="s">
        <v>17</v>
      </c>
      <c r="F41" s="6" t="s">
        <v>17</v>
      </c>
    </row>
    <row r="42">
      <c r="B42" s="4" t="s">
        <v>18</v>
      </c>
      <c r="C42" s="6">
        <v>0.930875576036866</v>
      </c>
      <c r="D42" s="6">
        <v>0.870967741935483</v>
      </c>
      <c r="E42" s="6">
        <v>0.892016317016317</v>
      </c>
      <c r="F42" s="6">
        <v>0.822960372960372</v>
      </c>
    </row>
    <row r="46">
      <c r="A46" s="7"/>
      <c r="B46" s="8" t="s">
        <v>20</v>
      </c>
      <c r="C46" s="7"/>
      <c r="D46" s="7"/>
      <c r="E46" s="7"/>
      <c r="F46" s="7"/>
      <c r="G46" s="9" t="s">
        <v>4</v>
      </c>
      <c r="H46" s="9" t="s">
        <v>14</v>
      </c>
      <c r="I46" s="9" t="s">
        <v>7</v>
      </c>
      <c r="J46" s="9" t="s">
        <v>21</v>
      </c>
      <c r="K46" s="9" t="s">
        <v>22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B47" s="2" t="s">
        <v>4</v>
      </c>
      <c r="C47" s="9" t="s">
        <v>7</v>
      </c>
      <c r="D47" s="9" t="s">
        <v>21</v>
      </c>
      <c r="E47" s="9" t="s">
        <v>22</v>
      </c>
      <c r="F47" s="7"/>
      <c r="G47" s="10" t="s">
        <v>20</v>
      </c>
      <c r="H47" s="11"/>
      <c r="I47" s="11"/>
      <c r="J47" s="11"/>
      <c r="K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0" customHeight="1">
      <c r="B48" s="4" t="s">
        <v>13</v>
      </c>
      <c r="C48" s="6">
        <v>0.921348314606741</v>
      </c>
      <c r="D48" s="6">
        <v>0.812658227848101</v>
      </c>
      <c r="E48" s="6">
        <v>0.793776895067858</v>
      </c>
      <c r="F48" s="7"/>
      <c r="G48" s="13" t="s">
        <v>13</v>
      </c>
      <c r="H48" s="6">
        <v>1.0</v>
      </c>
      <c r="I48" s="6">
        <v>0.921348314606741</v>
      </c>
      <c r="J48" s="6">
        <v>0.812658227848101</v>
      </c>
      <c r="K48" s="6">
        <v>0.793776895067858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B49" s="4" t="s">
        <v>15</v>
      </c>
      <c r="C49" s="6">
        <v>0.935483870967741</v>
      </c>
      <c r="D49" s="6">
        <v>0.8634375</v>
      </c>
      <c r="E49" s="6">
        <v>0.822960372960372</v>
      </c>
      <c r="F49" s="7"/>
      <c r="G49" s="13" t="s">
        <v>15</v>
      </c>
      <c r="H49" s="6">
        <v>1.0</v>
      </c>
      <c r="I49" s="6">
        <v>0.935483870967741</v>
      </c>
      <c r="J49" s="6">
        <v>0.8634375</v>
      </c>
      <c r="K49" s="6">
        <v>0.822960372960372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4" t="s">
        <v>18</v>
      </c>
      <c r="C50" s="6">
        <v>0.894009216589861</v>
      </c>
      <c r="D50" s="6">
        <v>0.92764817150063</v>
      </c>
      <c r="E50" s="6">
        <v>0.862404543324235</v>
      </c>
      <c r="F50" s="7"/>
      <c r="G50" s="13" t="s">
        <v>18</v>
      </c>
      <c r="H50" s="6">
        <v>1.0</v>
      </c>
      <c r="I50" s="6">
        <v>0.894009216589861</v>
      </c>
      <c r="J50" s="6">
        <v>0.92764817150063</v>
      </c>
      <c r="K50" s="6">
        <v>0.862404543324235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B51" s="3" t="s">
        <v>2</v>
      </c>
      <c r="G51" s="10" t="s">
        <v>2</v>
      </c>
      <c r="H51" s="11"/>
      <c r="I51" s="11"/>
      <c r="J51" s="11"/>
      <c r="K51" s="12"/>
    </row>
    <row r="52">
      <c r="B52" s="2" t="s">
        <v>4</v>
      </c>
      <c r="C52" s="9" t="s">
        <v>7</v>
      </c>
      <c r="D52" s="9" t="s">
        <v>21</v>
      </c>
      <c r="E52" s="9" t="s">
        <v>22</v>
      </c>
      <c r="G52" s="13" t="s">
        <v>13</v>
      </c>
      <c r="H52" s="6">
        <v>0.991031390134529</v>
      </c>
      <c r="I52" s="6">
        <v>0.915730337078651</v>
      </c>
      <c r="J52" s="6">
        <v>0.783287837427964</v>
      </c>
      <c r="K52" s="6">
        <v>0.784033001698616</v>
      </c>
    </row>
    <row r="53">
      <c r="B53" s="4" t="s">
        <v>13</v>
      </c>
      <c r="C53" s="6">
        <v>0.915730337078651</v>
      </c>
      <c r="D53" s="6">
        <v>0.783287837427964</v>
      </c>
      <c r="E53" s="6">
        <v>0.784033001698616</v>
      </c>
      <c r="G53" s="13" t="s">
        <v>15</v>
      </c>
      <c r="H53" s="6">
        <v>0.969581749049429</v>
      </c>
      <c r="I53" s="6">
        <v>0.930875576036866</v>
      </c>
      <c r="J53" s="6">
        <v>0.860516934046345</v>
      </c>
      <c r="K53" s="6">
        <v>0.827458256029684</v>
      </c>
    </row>
    <row r="54">
      <c r="B54" s="4" t="s">
        <v>15</v>
      </c>
      <c r="C54" s="6">
        <v>0.930875576036866</v>
      </c>
      <c r="D54" s="6">
        <v>0.860516934046345</v>
      </c>
      <c r="E54" s="6">
        <v>0.827458256029684</v>
      </c>
      <c r="G54" s="13" t="s">
        <v>18</v>
      </c>
      <c r="H54" s="6">
        <v>0.680608365019011</v>
      </c>
      <c r="I54" s="6">
        <v>0.585253456221198</v>
      </c>
      <c r="J54" s="6">
        <v>0.756771799628942</v>
      </c>
      <c r="K54" s="6">
        <v>0.579674586776859</v>
      </c>
    </row>
    <row r="55">
      <c r="B55" s="4" t="s">
        <v>18</v>
      </c>
      <c r="C55" s="6">
        <v>0.585253456221198</v>
      </c>
      <c r="D55" s="6">
        <v>0.756771799628942</v>
      </c>
      <c r="E55" s="6">
        <v>0.579674586776859</v>
      </c>
      <c r="G55" s="10" t="s">
        <v>3</v>
      </c>
      <c r="H55" s="11"/>
      <c r="I55" s="11"/>
      <c r="J55" s="11"/>
      <c r="K55" s="12"/>
    </row>
    <row r="56">
      <c r="B56" s="3" t="s">
        <v>3</v>
      </c>
      <c r="G56" s="13" t="s">
        <v>13</v>
      </c>
      <c r="H56" s="6">
        <v>0.96788990825688</v>
      </c>
      <c r="I56" s="6">
        <v>0.932584269662921</v>
      </c>
      <c r="J56" s="6">
        <v>0.800520833333333</v>
      </c>
      <c r="K56" s="6">
        <v>0.814583333333333</v>
      </c>
    </row>
    <row r="57">
      <c r="B57" s="2" t="s">
        <v>4</v>
      </c>
      <c r="C57" s="9" t="s">
        <v>7</v>
      </c>
      <c r="D57" s="9" t="s">
        <v>21</v>
      </c>
      <c r="E57" s="9" t="s">
        <v>22</v>
      </c>
      <c r="G57" s="13" t="s">
        <v>15</v>
      </c>
      <c r="H57" s="6">
        <v>0.963133640552995</v>
      </c>
      <c r="I57" s="6">
        <v>0.944700460829493</v>
      </c>
      <c r="J57" s="6">
        <v>0.874269005847953</v>
      </c>
      <c r="K57" s="6">
        <v>0.826953748006379</v>
      </c>
    </row>
    <row r="58">
      <c r="B58" s="4" t="s">
        <v>13</v>
      </c>
      <c r="C58" s="6">
        <v>0.932584269662921</v>
      </c>
      <c r="D58" s="6">
        <v>0.800520833333333</v>
      </c>
      <c r="E58" s="6">
        <v>0.814583333333333</v>
      </c>
      <c r="G58" s="13" t="s">
        <v>18</v>
      </c>
      <c r="H58" s="6">
        <v>0.930875576036866</v>
      </c>
      <c r="I58" s="6">
        <v>0.870967741935483</v>
      </c>
      <c r="J58" s="6">
        <v>0.892016317016317</v>
      </c>
      <c r="K58" s="6">
        <v>0.822960372960372</v>
      </c>
    </row>
    <row r="59">
      <c r="B59" s="4" t="s">
        <v>15</v>
      </c>
      <c r="C59" s="6">
        <v>0.944700460829493</v>
      </c>
      <c r="D59" s="6">
        <v>0.874269005847953</v>
      </c>
      <c r="E59" s="6">
        <v>0.826953748006379</v>
      </c>
    </row>
    <row r="60">
      <c r="B60" s="4" t="s">
        <v>18</v>
      </c>
      <c r="C60" s="6">
        <v>0.870967741935483</v>
      </c>
      <c r="D60" s="6">
        <v>0.892016317016317</v>
      </c>
      <c r="E60" s="6">
        <v>0.822960372960372</v>
      </c>
    </row>
    <row r="63">
      <c r="B63" s="2" t="s">
        <v>4</v>
      </c>
      <c r="C63" s="2" t="s">
        <v>23</v>
      </c>
      <c r="D63" s="2" t="s">
        <v>14</v>
      </c>
      <c r="E63" s="2" t="s">
        <v>24</v>
      </c>
      <c r="F63" s="2" t="s">
        <v>25</v>
      </c>
    </row>
    <row r="64">
      <c r="B64" s="4" t="s">
        <v>13</v>
      </c>
      <c r="C64" s="14">
        <v>178.0</v>
      </c>
      <c r="D64" s="6">
        <v>0.98</v>
      </c>
      <c r="E64" s="14">
        <v>68.0</v>
      </c>
      <c r="F64" s="14">
        <v>384.0</v>
      </c>
    </row>
    <row r="65">
      <c r="B65" s="4" t="s">
        <v>15</v>
      </c>
      <c r="C65" s="14">
        <v>217.0</v>
      </c>
      <c r="D65" s="6">
        <v>0.94</v>
      </c>
      <c r="E65" s="14">
        <v>54.0</v>
      </c>
      <c r="F65" s="14">
        <v>398.0</v>
      </c>
    </row>
    <row r="66">
      <c r="B66" s="4" t="s">
        <v>18</v>
      </c>
      <c r="C66" s="14">
        <v>217.0</v>
      </c>
      <c r="D66" s="6">
        <v>0.58</v>
      </c>
      <c r="E66" s="14">
        <v>164.0</v>
      </c>
      <c r="F66" s="14">
        <v>288.0</v>
      </c>
    </row>
  </sheetData>
  <mergeCells count="7">
    <mergeCell ref="C1:D1"/>
    <mergeCell ref="E1:I1"/>
    <mergeCell ref="J1:N1"/>
    <mergeCell ref="O1:S1"/>
    <mergeCell ref="G47:K47"/>
    <mergeCell ref="G51:K51"/>
    <mergeCell ref="G55:K55"/>
  </mergeCells>
  <conditionalFormatting sqref="V4:V7 C9:F12 U9 V10:V13 C15:F18 C21:F24 C27:F30 C33:F36 C39:F44 F47:F50 C48:E50 H48:K50 F52:F55 H52:K54 C53:E55 H56:H58 I56:K60 C58:F60 D64:D66">
    <cfRule type="cellIs" dxfId="0" priority="1" operator="greaterThan">
      <formula>0.95</formula>
    </cfRule>
  </conditionalFormatting>
  <conditionalFormatting sqref="V4:V7 C9:F12 U9 V10:V13 C15:F18 C21:F24 C27:F30 C33:F36 C39:F44 F47:F50 C48:E50 H48:K50 F52:F55 H52:K54 C53:E55 H56:H58 I56:K60 C58:F60 D64:D66">
    <cfRule type="cellIs" dxfId="1" priority="2" operator="greaterThan">
      <formula>0.85</formula>
    </cfRule>
  </conditionalFormatting>
  <drawing r:id="rId1"/>
</worksheet>
</file>