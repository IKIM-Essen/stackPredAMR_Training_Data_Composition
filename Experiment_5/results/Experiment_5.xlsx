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riment_5" sheetId="1" r:id="rId5"/>
  </sheets>
  <definedNames/>
  <calcPr/>
</workbook>
</file>

<file path=xl/sharedStrings.xml><?xml version="1.0" encoding="utf-8"?>
<sst xmlns="http://schemas.openxmlformats.org/spreadsheetml/2006/main" count="308" uniqueCount="27">
  <si>
    <t>Less Stringent</t>
  </si>
  <si>
    <t>phoenixTrain VITEKTest</t>
  </si>
  <si>
    <t>Std</t>
  </si>
  <si>
    <t>Target</t>
  </si>
  <si>
    <t>Accuracy</t>
  </si>
  <si>
    <t>ROC_Mean</t>
  </si>
  <si>
    <t>PR_Mean</t>
  </si>
  <si>
    <t>Precision_Mean</t>
  </si>
  <si>
    <t>Recall_Mean</t>
  </si>
  <si>
    <t>F1_Mean</t>
  </si>
  <si>
    <t>VME</t>
  </si>
  <si>
    <t>ME</t>
  </si>
  <si>
    <t>Amikacin</t>
  </si>
  <si>
    <t>Cefepime</t>
  </si>
  <si>
    <t>Ciprofloxacin</t>
  </si>
  <si>
    <t>Gentamicin</t>
  </si>
  <si>
    <t>Imipenem</t>
  </si>
  <si>
    <t>Levofloxacin</t>
  </si>
  <si>
    <t>Piperacillin-tazobactam</t>
  </si>
  <si>
    <t>Tobramycin</t>
  </si>
  <si>
    <t>Median</t>
  </si>
  <si>
    <t>phoenixTrain phoenixTest</t>
  </si>
  <si>
    <t>phoenixTrain naTest</t>
  </si>
  <si>
    <t>mixTrain VITEKTest</t>
  </si>
  <si>
    <t>mixTrain phoenixTest</t>
  </si>
  <si>
    <t>mixTrain naTest</t>
  </si>
  <si>
    <t>Stringent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</si>
</sst>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  <font>
      <b/>
      <color theme="1"/>
      <name val="Helvetica Neue"/>
    </font>
    <font>
      <color theme="1"/>
      <name val="Helvetica Neue"/>
    </font>
  </fonts>
  <fills count="6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D9D9D9"/>
        <bgColor rgb="FFD9D9D9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2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3" fontId="2" numFmtId="0" xfId="0" applyAlignment="1" applyFill="1" applyFont="1">
      <alignment horizontal="center" vertical="bottom"/>
    </xf>
    <xf borderId="1" fillId="4" fontId="3" numFmtId="0" xfId="0" applyAlignment="1" applyBorder="1" applyFill="1" applyFont="1">
      <alignment vertical="top"/>
    </xf>
    <xf borderId="1" fillId="5" fontId="3" numFmtId="0" xfId="0" applyAlignment="1" applyBorder="1" applyFill="1" applyFont="1">
      <alignment readingOrder="0" vertical="top"/>
    </xf>
    <xf borderId="1" fillId="0" fontId="4" numFmtId="2" xfId="0" applyAlignment="1" applyBorder="1" applyFont="1" applyNumberForma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3" t="s">
        <v>1</v>
      </c>
      <c r="B2" s="3"/>
      <c r="C2" s="3"/>
      <c r="D2" s="3"/>
      <c r="E2" s="3"/>
      <c r="F2" s="3"/>
      <c r="G2" s="3"/>
      <c r="H2" s="3"/>
      <c r="I2" s="3"/>
      <c r="J2" s="4" t="s">
        <v>2</v>
      </c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4</v>
      </c>
      <c r="K3" s="5" t="s">
        <v>5</v>
      </c>
      <c r="L3" s="5" t="s">
        <v>6</v>
      </c>
      <c r="M3" s="5" t="s">
        <v>7</v>
      </c>
      <c r="N3" s="5" t="s">
        <v>8</v>
      </c>
      <c r="O3" s="5" t="s">
        <v>9</v>
      </c>
      <c r="P3" s="5" t="s">
        <v>10</v>
      </c>
      <c r="Q3" s="5" t="s">
        <v>11</v>
      </c>
    </row>
    <row r="4">
      <c r="A4" s="6" t="s">
        <v>12</v>
      </c>
      <c r="B4" s="7">
        <v>0.766666666666666</v>
      </c>
      <c r="C4" s="7">
        <v>0.785732669257956</v>
      </c>
      <c r="D4" s="7">
        <v>0.746713671366245</v>
      </c>
      <c r="E4" s="7">
        <v>0.727532600133292</v>
      </c>
      <c r="F4" s="7">
        <v>0.602748678392894</v>
      </c>
      <c r="G4" s="7">
        <v>0.60939380742785</v>
      </c>
      <c r="H4" s="7">
        <v>20.0666666666666</v>
      </c>
      <c r="I4" s="7">
        <v>3.26666666666666</v>
      </c>
      <c r="J4" s="7">
        <v>0.0150554530541816</v>
      </c>
      <c r="K4" s="7">
        <v>0.0354899197078827</v>
      </c>
      <c r="L4" s="7">
        <v>0.0363940171403834</v>
      </c>
      <c r="M4" s="7">
        <v>0.0456895062932965</v>
      </c>
      <c r="N4" s="7">
        <v>0.0218302622403929</v>
      </c>
      <c r="O4" s="7">
        <v>0.0269391319172679</v>
      </c>
      <c r="P4" s="7">
        <v>1.92527054375915</v>
      </c>
      <c r="Q4" s="7">
        <v>1.38884444373331</v>
      </c>
    </row>
    <row r="5">
      <c r="A5" s="6" t="s">
        <v>13</v>
      </c>
      <c r="B5" s="7">
        <v>0.634604085154715</v>
      </c>
      <c r="C5" s="7">
        <v>0.595120938761013</v>
      </c>
      <c r="D5" s="7">
        <v>0.548726113232392</v>
      </c>
      <c r="E5" s="7">
        <v>0.480897630817869</v>
      </c>
      <c r="F5" s="7">
        <v>0.470415084375749</v>
      </c>
      <c r="G5" s="7">
        <v>0.462854473423999</v>
      </c>
      <c r="H5" s="7">
        <v>25.145250094017</v>
      </c>
      <c r="I5" s="7">
        <v>11.3943413905113</v>
      </c>
      <c r="J5" s="7">
        <v>0.0184114815800788</v>
      </c>
      <c r="K5" s="7">
        <v>0.0343750093323407</v>
      </c>
      <c r="L5" s="7">
        <v>0.0288355835944639</v>
      </c>
      <c r="M5" s="7">
        <v>0.0129703461038308</v>
      </c>
      <c r="N5" s="7">
        <v>0.020457482513522</v>
      </c>
      <c r="O5" s="7">
        <v>0.0131787651973039</v>
      </c>
      <c r="P5" s="7">
        <v>1.18569744322829</v>
      </c>
      <c r="Q5" s="7">
        <v>1.9731493510053</v>
      </c>
    </row>
    <row r="6">
      <c r="A6" s="6" t="s">
        <v>14</v>
      </c>
      <c r="B6" s="7">
        <v>0.76</v>
      </c>
      <c r="C6" s="7">
        <v>0.708036156511252</v>
      </c>
      <c r="D6" s="7">
        <v>0.584295062575392</v>
      </c>
      <c r="E6" s="7">
        <v>0.574688775746331</v>
      </c>
      <c r="F6" s="7">
        <v>0.661144564321798</v>
      </c>
      <c r="G6" s="7">
        <v>0.577240149686274</v>
      </c>
      <c r="H6" s="7">
        <v>19.6</v>
      </c>
      <c r="I6" s="7">
        <v>4.4</v>
      </c>
      <c r="J6" s="7">
        <v>0.00869226987360356</v>
      </c>
      <c r="K6" s="7">
        <v>0.0288298632357092</v>
      </c>
      <c r="L6" s="7">
        <v>0.0221561142904919</v>
      </c>
      <c r="M6" s="7">
        <v>0.011740824208841</v>
      </c>
      <c r="N6" s="7">
        <v>0.0233761748119636</v>
      </c>
      <c r="O6" s="7">
        <v>0.0159417565245203</v>
      </c>
      <c r="P6" s="7">
        <v>1.14309521329881</v>
      </c>
      <c r="Q6" s="7">
        <v>0.573488351136175</v>
      </c>
    </row>
    <row r="7">
      <c r="A7" s="6" t="s">
        <v>15</v>
      </c>
      <c r="B7" s="7">
        <v>0.861333333333333</v>
      </c>
      <c r="C7" s="7">
        <v>0.906732616957294</v>
      </c>
      <c r="D7" s="7">
        <v>0.892625254382605</v>
      </c>
      <c r="E7" s="7">
        <v>0.862237507568674</v>
      </c>
      <c r="F7" s="7">
        <v>0.861347875188745</v>
      </c>
      <c r="G7" s="7">
        <v>0.861079573680191</v>
      </c>
      <c r="H7" s="7">
        <v>8.33333333333333</v>
      </c>
      <c r="I7" s="7">
        <v>5.53333333333333</v>
      </c>
      <c r="J7" s="7">
        <v>0.0182086670449968</v>
      </c>
      <c r="K7" s="7">
        <v>0.0116241723633483</v>
      </c>
      <c r="L7" s="7">
        <v>0.0203545314846964</v>
      </c>
      <c r="M7" s="7">
        <v>0.0176093574535377</v>
      </c>
      <c r="N7" s="7">
        <v>0.0185537463350555</v>
      </c>
      <c r="O7" s="7">
        <v>0.0183848000716639</v>
      </c>
      <c r="P7" s="7">
        <v>1.22927259430571</v>
      </c>
      <c r="Q7" s="7">
        <v>0.618241233033047</v>
      </c>
    </row>
    <row r="8">
      <c r="A8" s="6" t="s">
        <v>16</v>
      </c>
      <c r="B8" s="7">
        <v>0.268539604845413</v>
      </c>
      <c r="C8" s="7">
        <v>0.59778498690204</v>
      </c>
      <c r="D8" s="7">
        <v>0.577472679273439</v>
      </c>
      <c r="E8" s="7">
        <v>0.59689090966555</v>
      </c>
      <c r="F8" s="7">
        <v>0.556442107726223</v>
      </c>
      <c r="G8" s="7">
        <v>0.262457342065245</v>
      </c>
      <c r="H8" s="7">
        <v>73.1460395154586</v>
      </c>
      <c r="I8" s="7">
        <v>0.0</v>
      </c>
      <c r="J8" s="7">
        <v>0.0384686142646455</v>
      </c>
      <c r="K8" s="7">
        <v>0.0346206440225212</v>
      </c>
      <c r="L8" s="7">
        <v>0.0206959366040971</v>
      </c>
      <c r="M8" s="7">
        <v>0.0138105693639852</v>
      </c>
      <c r="N8" s="7">
        <v>0.0171422338684223</v>
      </c>
      <c r="O8" s="7">
        <v>0.0391466320874299</v>
      </c>
      <c r="P8" s="7">
        <v>3.84686142646455</v>
      </c>
      <c r="Q8" s="7">
        <v>0.0</v>
      </c>
    </row>
    <row r="9">
      <c r="A9" s="6" t="s">
        <v>17</v>
      </c>
      <c r="B9" s="7">
        <v>0.616777499455067</v>
      </c>
      <c r="C9" s="7">
        <v>0.681523571090229</v>
      </c>
      <c r="D9" s="7">
        <v>0.653977243897898</v>
      </c>
      <c r="E9" s="7">
        <v>0.661997894149537</v>
      </c>
      <c r="F9" s="7">
        <v>0.672936110806329</v>
      </c>
      <c r="G9" s="7">
        <v>0.615470050181886</v>
      </c>
      <c r="H9" s="7">
        <v>33.0457948635956</v>
      </c>
      <c r="I9" s="7">
        <v>5.27645519089768</v>
      </c>
      <c r="J9" s="7">
        <v>0.0348190558608494</v>
      </c>
      <c r="K9" s="7">
        <v>0.0395433962700076</v>
      </c>
      <c r="L9" s="7">
        <v>0.0320686166762379</v>
      </c>
      <c r="M9" s="7">
        <v>0.0242775562434818</v>
      </c>
      <c r="N9" s="7">
        <v>0.0302980262580474</v>
      </c>
      <c r="O9" s="7">
        <v>0.0340297790669498</v>
      </c>
      <c r="P9" s="7">
        <v>3.06820654626253</v>
      </c>
      <c r="Q9" s="7">
        <v>0.731322383230651</v>
      </c>
    </row>
    <row r="10">
      <c r="A10" s="6" t="s">
        <v>18</v>
      </c>
      <c r="B10" s="7">
        <v>0.806394930639013</v>
      </c>
      <c r="C10" s="7">
        <v>0.864410212038769</v>
      </c>
      <c r="D10" s="7">
        <v>0.826782073824829</v>
      </c>
      <c r="E10" s="7">
        <v>0.781688522180967</v>
      </c>
      <c r="F10" s="7">
        <v>0.795699599446565</v>
      </c>
      <c r="G10" s="7">
        <v>0.785364884842097</v>
      </c>
      <c r="H10" s="7">
        <v>11.5551066908811</v>
      </c>
      <c r="I10" s="7">
        <v>7.80540024521744</v>
      </c>
      <c r="J10" s="7">
        <v>0.0255910902175339</v>
      </c>
      <c r="K10" s="7">
        <v>0.0133550662236884</v>
      </c>
      <c r="L10" s="7">
        <v>0.0264292799517082</v>
      </c>
      <c r="M10" s="7">
        <v>0.0314715338588325</v>
      </c>
      <c r="N10" s="7">
        <v>0.030338811556663</v>
      </c>
      <c r="O10" s="7">
        <v>0.0302781367299314</v>
      </c>
      <c r="P10" s="7">
        <v>2.87480745889553</v>
      </c>
      <c r="Q10" s="7">
        <v>2.2122567110125</v>
      </c>
    </row>
    <row r="11">
      <c r="A11" s="6" t="s">
        <v>19</v>
      </c>
      <c r="B11" s="7">
        <v>0.921685600315317</v>
      </c>
      <c r="C11" s="7">
        <v>0.928100851363643</v>
      </c>
      <c r="D11" s="7">
        <v>0.908107274440099</v>
      </c>
      <c r="E11" s="7">
        <v>0.917787775320758</v>
      </c>
      <c r="F11" s="7">
        <v>0.915150012207651</v>
      </c>
      <c r="G11" s="7">
        <v>0.916427381980954</v>
      </c>
      <c r="H11" s="7">
        <v>3.6277281099491</v>
      </c>
      <c r="I11" s="7">
        <v>4.20371185851912</v>
      </c>
      <c r="J11" s="7">
        <v>0.00857780493981092</v>
      </c>
      <c r="K11" s="7">
        <v>0.00837300115995866</v>
      </c>
      <c r="L11" s="7">
        <v>0.0109683568215194</v>
      </c>
      <c r="M11" s="7">
        <v>0.00840205700685978</v>
      </c>
      <c r="N11" s="7">
        <v>0.0087224832531004</v>
      </c>
      <c r="O11" s="7">
        <v>0.00855649537933811</v>
      </c>
      <c r="P11" s="7">
        <v>0.405763122784531</v>
      </c>
      <c r="Q11" s="7">
        <v>0.472131472432244</v>
      </c>
    </row>
    <row r="12">
      <c r="A12" s="6" t="s">
        <v>20</v>
      </c>
      <c r="B12" s="7">
        <f t="shared" ref="B12:Q12" si="1">MEDIAN(B4:B11)</f>
        <v>0.7633333333</v>
      </c>
      <c r="C12" s="7">
        <f t="shared" si="1"/>
        <v>0.7468844129</v>
      </c>
      <c r="D12" s="7">
        <f t="shared" si="1"/>
        <v>0.7003454576</v>
      </c>
      <c r="E12" s="7">
        <f t="shared" si="1"/>
        <v>0.6947652471</v>
      </c>
      <c r="F12" s="7">
        <f t="shared" si="1"/>
        <v>0.6670403376</v>
      </c>
      <c r="G12" s="7">
        <f t="shared" si="1"/>
        <v>0.6124319288</v>
      </c>
      <c r="H12" s="7">
        <f t="shared" si="1"/>
        <v>19.83333333</v>
      </c>
      <c r="I12" s="7">
        <f t="shared" si="1"/>
        <v>4.838227595</v>
      </c>
      <c r="J12" s="7">
        <f t="shared" si="1"/>
        <v>0.01831007431</v>
      </c>
      <c r="K12" s="7">
        <f t="shared" si="1"/>
        <v>0.03160243628</v>
      </c>
      <c r="L12" s="7">
        <f t="shared" si="1"/>
        <v>0.02429269712</v>
      </c>
      <c r="M12" s="7">
        <f t="shared" si="1"/>
        <v>0.01570996341</v>
      </c>
      <c r="N12" s="7">
        <f t="shared" si="1"/>
        <v>0.02114387238</v>
      </c>
      <c r="O12" s="7">
        <f t="shared" si="1"/>
        <v>0.02266196599</v>
      </c>
      <c r="P12" s="7">
        <f t="shared" si="1"/>
        <v>1.577271569</v>
      </c>
      <c r="Q12" s="7">
        <f t="shared" si="1"/>
        <v>0.6747818081</v>
      </c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>
      <c r="A14" s="3" t="s">
        <v>21</v>
      </c>
      <c r="B14" s="3"/>
      <c r="C14" s="3"/>
      <c r="D14" s="3"/>
      <c r="E14" s="3"/>
      <c r="F14" s="3"/>
      <c r="G14" s="3"/>
      <c r="H14" s="3"/>
      <c r="I14" s="3"/>
      <c r="J14" s="4" t="s">
        <v>2</v>
      </c>
    </row>
    <row r="15">
      <c r="A15" s="5" t="s">
        <v>3</v>
      </c>
      <c r="B15" s="5" t="s">
        <v>4</v>
      </c>
      <c r="C15" s="5" t="s">
        <v>5</v>
      </c>
      <c r="D15" s="5" t="s">
        <v>6</v>
      </c>
      <c r="E15" s="5" t="s">
        <v>7</v>
      </c>
      <c r="F15" s="5" t="s">
        <v>8</v>
      </c>
      <c r="G15" s="5" t="s">
        <v>9</v>
      </c>
      <c r="H15" s="5" t="s">
        <v>10</v>
      </c>
      <c r="I15" s="5" t="s">
        <v>11</v>
      </c>
      <c r="J15" s="5" t="s">
        <v>4</v>
      </c>
      <c r="K15" s="5" t="s">
        <v>5</v>
      </c>
      <c r="L15" s="5" t="s">
        <v>6</v>
      </c>
      <c r="M15" s="5" t="s">
        <v>7</v>
      </c>
      <c r="N15" s="5" t="s">
        <v>8</v>
      </c>
      <c r="O15" s="5" t="s">
        <v>9</v>
      </c>
      <c r="P15" s="5" t="s">
        <v>10</v>
      </c>
      <c r="Q15" s="5" t="s">
        <v>11</v>
      </c>
    </row>
    <row r="16">
      <c r="A16" s="6" t="s">
        <v>12</v>
      </c>
      <c r="B16" s="7">
        <v>0.921333333333333</v>
      </c>
      <c r="C16" s="7">
        <v>0.941530628040241</v>
      </c>
      <c r="D16" s="7">
        <v>0.930047365029005</v>
      </c>
      <c r="E16" s="7">
        <v>0.899054334112328</v>
      </c>
      <c r="F16" s="7">
        <v>0.901581194159162</v>
      </c>
      <c r="G16" s="7">
        <v>0.900196793574061</v>
      </c>
      <c r="H16" s="7">
        <v>3.8</v>
      </c>
      <c r="I16" s="7">
        <v>4.06666666666666</v>
      </c>
      <c r="J16" s="7">
        <v>0.0143913554299486</v>
      </c>
      <c r="K16" s="7">
        <v>0.0117256309774809</v>
      </c>
      <c r="L16" s="7">
        <v>0.0100349853714334</v>
      </c>
      <c r="M16" s="7">
        <v>0.0221320151625535</v>
      </c>
      <c r="N16" s="7">
        <v>0.0173892750835482</v>
      </c>
      <c r="O16" s="7">
        <v>0.0195970259741538</v>
      </c>
      <c r="P16" s="7">
        <v>0.541602560309064</v>
      </c>
      <c r="Q16" s="7">
        <v>1.04136662345422</v>
      </c>
    </row>
    <row r="17">
      <c r="A17" s="6" t="s">
        <v>13</v>
      </c>
      <c r="B17" s="7">
        <v>0.744125697589872</v>
      </c>
      <c r="C17" s="7">
        <v>0.801617972707891</v>
      </c>
      <c r="D17" s="7">
        <v>0.76144573775206</v>
      </c>
      <c r="E17" s="7">
        <v>0.720645578366917</v>
      </c>
      <c r="F17" s="7">
        <v>0.712977075248923</v>
      </c>
      <c r="G17" s="7">
        <v>0.714935854076066</v>
      </c>
      <c r="H17" s="7">
        <v>11.6622526005365</v>
      </c>
      <c r="I17" s="7">
        <v>13.9251776404761</v>
      </c>
      <c r="J17" s="7">
        <v>0.0192529937211578</v>
      </c>
      <c r="K17" s="7">
        <v>0.0162277098866812</v>
      </c>
      <c r="L17" s="7">
        <v>0.021687387267964</v>
      </c>
      <c r="M17" s="7">
        <v>0.0285801690553664</v>
      </c>
      <c r="N17" s="7">
        <v>0.0250120638930405</v>
      </c>
      <c r="O17" s="7">
        <v>0.0248770594164572</v>
      </c>
      <c r="P17" s="7">
        <v>2.38714092860769</v>
      </c>
      <c r="Q17" s="7">
        <v>1.80556867376714</v>
      </c>
    </row>
    <row r="18">
      <c r="A18" s="6" t="s">
        <v>14</v>
      </c>
      <c r="B18" s="7">
        <v>0.954</v>
      </c>
      <c r="C18" s="7">
        <v>0.974132658523618</v>
      </c>
      <c r="D18" s="7">
        <v>0.854369224916077</v>
      </c>
      <c r="E18" s="7">
        <v>0.850506679899443</v>
      </c>
      <c r="F18" s="7">
        <v>0.921181183635417</v>
      </c>
      <c r="G18" s="7">
        <v>0.880610574232634</v>
      </c>
      <c r="H18" s="7">
        <v>3.4</v>
      </c>
      <c r="I18" s="7">
        <v>1.2</v>
      </c>
      <c r="J18" s="7">
        <v>0.0038873012632302</v>
      </c>
      <c r="K18" s="7">
        <v>0.00347444262937355</v>
      </c>
      <c r="L18" s="7">
        <v>0.0297035912276572</v>
      </c>
      <c r="M18" s="7">
        <v>0.0113770524383933</v>
      </c>
      <c r="N18" s="7">
        <v>0.0256619237253851</v>
      </c>
      <c r="O18" s="7">
        <v>0.00873580903104107</v>
      </c>
      <c r="P18" s="7">
        <v>0.38873012632302</v>
      </c>
      <c r="Q18" s="7">
        <v>0.65319726474218</v>
      </c>
    </row>
    <row r="19">
      <c r="A19" s="6" t="s">
        <v>15</v>
      </c>
      <c r="B19" s="7">
        <v>0.872666666666666</v>
      </c>
      <c r="C19" s="7">
        <v>0.949259156233995</v>
      </c>
      <c r="D19" s="7">
        <v>0.947312436984006</v>
      </c>
      <c r="E19" s="7">
        <v>0.872339397181536</v>
      </c>
      <c r="F19" s="7">
        <v>0.872297952796047</v>
      </c>
      <c r="G19" s="7">
        <v>0.871182284313492</v>
      </c>
      <c r="H19" s="7">
        <v>6.46666666666666</v>
      </c>
      <c r="I19" s="7">
        <v>6.26666666666666</v>
      </c>
      <c r="J19" s="7">
        <v>0.0097524925588852</v>
      </c>
      <c r="K19" s="7">
        <v>0.013729647656712</v>
      </c>
      <c r="L19" s="7">
        <v>0.0136390353545771</v>
      </c>
      <c r="M19" s="7">
        <v>0.00798046840054801</v>
      </c>
      <c r="N19" s="7">
        <v>0.0114282682837196</v>
      </c>
      <c r="O19" s="7">
        <v>0.00973838604732542</v>
      </c>
      <c r="P19" s="7">
        <v>1.58605030044937</v>
      </c>
      <c r="Q19" s="7">
        <v>2.08059820457696</v>
      </c>
    </row>
    <row r="20">
      <c r="A20" s="6" t="s">
        <v>16</v>
      </c>
      <c r="B20" s="7">
        <v>0.918666666666666</v>
      </c>
      <c r="C20" s="7">
        <v>0.943228697169841</v>
      </c>
      <c r="D20" s="7">
        <v>0.919095795982147</v>
      </c>
      <c r="E20" s="7">
        <v>0.899736628498334</v>
      </c>
      <c r="F20" s="7">
        <v>0.896513030653462</v>
      </c>
      <c r="G20" s="7">
        <v>0.897871263448345</v>
      </c>
      <c r="H20" s="7">
        <v>4.26666666666666</v>
      </c>
      <c r="I20" s="7">
        <v>3.86666666666666</v>
      </c>
      <c r="J20" s="7">
        <v>0.0100221975855819</v>
      </c>
      <c r="K20" s="7">
        <v>0.0167006099340607</v>
      </c>
      <c r="L20" s="7">
        <v>0.00957643613779288</v>
      </c>
      <c r="M20" s="7">
        <v>0.0044968916173044</v>
      </c>
      <c r="N20" s="7">
        <v>0.0112981216200774</v>
      </c>
      <c r="O20" s="7">
        <v>0.00709098699383911</v>
      </c>
      <c r="P20" s="7">
        <v>0.952190457139046</v>
      </c>
      <c r="Q20" s="7">
        <v>0.581186525805423</v>
      </c>
    </row>
    <row r="21">
      <c r="A21" s="6" t="s">
        <v>17</v>
      </c>
      <c r="B21" s="7">
        <v>0.919333333333333</v>
      </c>
      <c r="C21" s="7">
        <v>0.950661914575858</v>
      </c>
      <c r="D21" s="7">
        <v>0.882332496413234</v>
      </c>
      <c r="E21" s="7">
        <v>0.858241474443802</v>
      </c>
      <c r="F21" s="7">
        <v>0.910533291261416</v>
      </c>
      <c r="G21" s="7">
        <v>0.880293391356061</v>
      </c>
      <c r="H21" s="7">
        <v>6.06666666666666</v>
      </c>
      <c r="I21" s="7">
        <v>2.0</v>
      </c>
      <c r="J21" s="7">
        <v>0.0118133634311129</v>
      </c>
      <c r="K21" s="7">
        <v>0.0108687664866602</v>
      </c>
      <c r="L21" s="7">
        <v>0.0264964183523126</v>
      </c>
      <c r="M21" s="7">
        <v>0.0203799515966631</v>
      </c>
      <c r="N21" s="7">
        <v>0.0181501071609266</v>
      </c>
      <c r="O21" s="7">
        <v>0.0193805753679717</v>
      </c>
      <c r="P21" s="7">
        <v>0.879393730551527</v>
      </c>
      <c r="Q21" s="7">
        <v>0.557773351022717</v>
      </c>
    </row>
    <row r="22">
      <c r="A22" s="6" t="s">
        <v>18</v>
      </c>
      <c r="B22" s="7">
        <v>0.841333333333333</v>
      </c>
      <c r="C22" s="7">
        <v>0.827520113267064</v>
      </c>
      <c r="D22" s="7">
        <v>0.728909746172362</v>
      </c>
      <c r="E22" s="7">
        <v>0.693094296270844</v>
      </c>
      <c r="F22" s="7">
        <v>0.707723499418031</v>
      </c>
      <c r="G22" s="7">
        <v>0.698631484189185</v>
      </c>
      <c r="H22" s="7">
        <v>8.66666666666666</v>
      </c>
      <c r="I22" s="7">
        <v>7.2</v>
      </c>
      <c r="J22" s="7">
        <v>0.0154344492037203</v>
      </c>
      <c r="K22" s="7">
        <v>0.0148298992903613</v>
      </c>
      <c r="L22" s="7">
        <v>0.0103127905103282</v>
      </c>
      <c r="M22" s="7">
        <v>0.0136171259952309</v>
      </c>
      <c r="N22" s="7">
        <v>0.025086378883377</v>
      </c>
      <c r="O22" s="7">
        <v>0.0163644149257614</v>
      </c>
      <c r="P22" s="7">
        <v>1.59164485150844</v>
      </c>
      <c r="Q22" s="7">
        <v>1.20369800568451</v>
      </c>
    </row>
    <row r="23">
      <c r="A23" s="6" t="s">
        <v>19</v>
      </c>
      <c r="B23" s="7">
        <v>0.902666666666666</v>
      </c>
      <c r="C23" s="7">
        <v>0.941323037439201</v>
      </c>
      <c r="D23" s="7">
        <v>0.929588958375315</v>
      </c>
      <c r="E23" s="7">
        <v>0.891020909340264</v>
      </c>
      <c r="F23" s="7">
        <v>0.89906161188361</v>
      </c>
      <c r="G23" s="7">
        <v>0.894219074865883</v>
      </c>
      <c r="H23" s="7">
        <v>5.86666666666666</v>
      </c>
      <c r="I23" s="7">
        <v>3.86666666666666</v>
      </c>
      <c r="J23" s="7">
        <v>0.0154056266777217</v>
      </c>
      <c r="K23" s="7">
        <v>0.00877017845846425</v>
      </c>
      <c r="L23" s="7">
        <v>0.0103824710626676</v>
      </c>
      <c r="M23" s="7">
        <v>0.0170017558710134</v>
      </c>
      <c r="N23" s="7">
        <v>0.0133517830541529</v>
      </c>
      <c r="O23" s="7">
        <v>0.0153681759765785</v>
      </c>
      <c r="P23" s="7">
        <v>1.61382912492136</v>
      </c>
      <c r="Q23" s="7">
        <v>0.77746025264604</v>
      </c>
    </row>
    <row r="24">
      <c r="A24" s="6" t="s">
        <v>20</v>
      </c>
      <c r="B24" s="7">
        <f t="shared" ref="B24:Q24" si="2">MEDIAN(B16:B23)</f>
        <v>0.9106666667</v>
      </c>
      <c r="C24" s="7">
        <f t="shared" si="2"/>
        <v>0.9423796626</v>
      </c>
      <c r="D24" s="7">
        <f t="shared" si="2"/>
        <v>0.9007141462</v>
      </c>
      <c r="E24" s="7">
        <f t="shared" si="2"/>
        <v>0.8652904358</v>
      </c>
      <c r="F24" s="7">
        <f t="shared" si="2"/>
        <v>0.8977873213</v>
      </c>
      <c r="G24" s="7">
        <f t="shared" si="2"/>
        <v>0.8804519828</v>
      </c>
      <c r="H24" s="7">
        <f t="shared" si="2"/>
        <v>5.966666667</v>
      </c>
      <c r="I24" s="7">
        <f t="shared" si="2"/>
        <v>3.966666667</v>
      </c>
      <c r="J24" s="7">
        <f t="shared" si="2"/>
        <v>0.01310235943</v>
      </c>
      <c r="K24" s="7">
        <f t="shared" si="2"/>
        <v>0.01272763932</v>
      </c>
      <c r="L24" s="7">
        <f t="shared" si="2"/>
        <v>0.01201075321</v>
      </c>
      <c r="M24" s="7">
        <f t="shared" si="2"/>
        <v>0.01530944093</v>
      </c>
      <c r="N24" s="7">
        <f t="shared" si="2"/>
        <v>0.01776969112</v>
      </c>
      <c r="O24" s="7">
        <f t="shared" si="2"/>
        <v>0.01586629545</v>
      </c>
      <c r="P24" s="7">
        <f t="shared" si="2"/>
        <v>1.269120379</v>
      </c>
      <c r="Q24" s="7">
        <f t="shared" si="2"/>
        <v>0.9094134381</v>
      </c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>
      <c r="A26" s="3" t="s">
        <v>22</v>
      </c>
      <c r="B26" s="3"/>
      <c r="C26" s="3"/>
      <c r="D26" s="3"/>
      <c r="E26" s="3"/>
      <c r="F26" s="3"/>
      <c r="G26" s="3"/>
      <c r="H26" s="3"/>
      <c r="I26" s="3"/>
      <c r="J26" s="4" t="s">
        <v>2</v>
      </c>
    </row>
    <row r="27">
      <c r="A27" s="5" t="s">
        <v>3</v>
      </c>
      <c r="B27" s="5" t="s">
        <v>4</v>
      </c>
      <c r="C27" s="5" t="s">
        <v>5</v>
      </c>
      <c r="D27" s="5" t="s">
        <v>6</v>
      </c>
      <c r="E27" s="5" t="s">
        <v>7</v>
      </c>
      <c r="F27" s="5" t="s">
        <v>8</v>
      </c>
      <c r="G27" s="5" t="s">
        <v>9</v>
      </c>
      <c r="H27" s="5" t="s">
        <v>10</v>
      </c>
      <c r="I27" s="5" t="s">
        <v>11</v>
      </c>
      <c r="J27" s="5" t="s">
        <v>4</v>
      </c>
      <c r="K27" s="5" t="s">
        <v>5</v>
      </c>
      <c r="L27" s="5" t="s">
        <v>6</v>
      </c>
      <c r="M27" s="5" t="s">
        <v>7</v>
      </c>
      <c r="N27" s="5" t="s">
        <v>8</v>
      </c>
      <c r="O27" s="5" t="s">
        <v>9</v>
      </c>
      <c r="P27" s="5" t="s">
        <v>10</v>
      </c>
      <c r="Q27" s="5" t="s">
        <v>11</v>
      </c>
    </row>
    <row r="28">
      <c r="A28" s="6" t="s">
        <v>12</v>
      </c>
      <c r="B28" s="7">
        <v>0.759548229548229</v>
      </c>
      <c r="C28" s="7">
        <v>0.856966155706495</v>
      </c>
      <c r="D28" s="7">
        <v>0.819605171106988</v>
      </c>
      <c r="E28" s="7">
        <v>0.743144598823886</v>
      </c>
      <c r="F28" s="7">
        <v>0.717122574211453</v>
      </c>
      <c r="G28" s="7">
        <v>0.721338639793005</v>
      </c>
      <c r="H28" s="7">
        <v>15.6964951383864</v>
      </c>
      <c r="I28" s="7">
        <v>8.34868190679061</v>
      </c>
      <c r="J28" s="7">
        <v>0.0351691840269908</v>
      </c>
      <c r="K28" s="7">
        <v>0.0236500825294245</v>
      </c>
      <c r="L28" s="7">
        <v>0.0246992115096946</v>
      </c>
      <c r="M28" s="7">
        <v>0.0204477834047944</v>
      </c>
      <c r="N28" s="7">
        <v>0.0407116323097924</v>
      </c>
      <c r="O28" s="7">
        <v>0.0384241798011371</v>
      </c>
      <c r="P28" s="7">
        <v>4.84610335042985</v>
      </c>
      <c r="Q28" s="7">
        <v>1.39826893142398</v>
      </c>
    </row>
    <row r="29">
      <c r="A29" s="6" t="s">
        <v>13</v>
      </c>
      <c r="B29" s="7">
        <v>0.841907298352411</v>
      </c>
      <c r="C29" s="7">
        <v>0.864951095922465</v>
      </c>
      <c r="D29" s="7">
        <v>0.755989988408174</v>
      </c>
      <c r="E29" s="7">
        <v>0.722964254408158</v>
      </c>
      <c r="F29" s="7">
        <v>0.808643731818452</v>
      </c>
      <c r="G29" s="7">
        <v>0.747289015650371</v>
      </c>
      <c r="H29" s="7">
        <v>11.942672220152</v>
      </c>
      <c r="I29" s="7">
        <v>3.86659794460676</v>
      </c>
      <c r="J29" s="7">
        <v>0.0115440636422768</v>
      </c>
      <c r="K29" s="7">
        <v>0.0250397921151701</v>
      </c>
      <c r="L29" s="7">
        <v>0.0259012121739085</v>
      </c>
      <c r="M29" s="7">
        <v>0.0150499415002973</v>
      </c>
      <c r="N29" s="7">
        <v>0.0348750321578112</v>
      </c>
      <c r="O29" s="7">
        <v>0.0101976770917945</v>
      </c>
      <c r="P29" s="7">
        <v>2.48073785035551</v>
      </c>
      <c r="Q29" s="7">
        <v>1.97362103954273</v>
      </c>
    </row>
    <row r="30">
      <c r="A30" s="6" t="s">
        <v>14</v>
      </c>
      <c r="B30" s="7">
        <v>0.903825779787318</v>
      </c>
      <c r="C30" s="7">
        <v>0.900068297806388</v>
      </c>
      <c r="D30" s="7">
        <v>0.820843736798178</v>
      </c>
      <c r="E30" s="7">
        <v>0.798987484022929</v>
      </c>
      <c r="F30" s="7">
        <v>0.827877854343971</v>
      </c>
      <c r="G30" s="7">
        <v>0.810365320136244</v>
      </c>
      <c r="H30" s="7">
        <v>5.53205572436341</v>
      </c>
      <c r="I30" s="7">
        <v>4.08536629690475</v>
      </c>
      <c r="J30" s="7">
        <v>0.0323585285231958</v>
      </c>
      <c r="K30" s="7">
        <v>0.0277929203358458</v>
      </c>
      <c r="L30" s="7">
        <v>0.036842458968227</v>
      </c>
      <c r="M30" s="7">
        <v>0.0446754717206529</v>
      </c>
      <c r="N30" s="7">
        <v>0.0746089909863155</v>
      </c>
      <c r="O30" s="7">
        <v>0.0549979952617693</v>
      </c>
      <c r="P30" s="7">
        <v>1.39684138229472</v>
      </c>
      <c r="Q30" s="7">
        <v>2.30945040799461</v>
      </c>
    </row>
    <row r="31">
      <c r="A31" s="6" t="s">
        <v>15</v>
      </c>
      <c r="B31" s="7">
        <v>0.816334015179917</v>
      </c>
      <c r="C31" s="7">
        <v>0.897689892599178</v>
      </c>
      <c r="D31" s="7">
        <v>0.890171089235901</v>
      </c>
      <c r="E31" s="7">
        <v>0.820856390868511</v>
      </c>
      <c r="F31" s="7">
        <v>0.822345078422291</v>
      </c>
      <c r="G31" s="7">
        <v>0.815721111961877</v>
      </c>
      <c r="H31" s="7">
        <v>5.50925312099781</v>
      </c>
      <c r="I31" s="7">
        <v>12.8573453610103</v>
      </c>
      <c r="J31" s="7">
        <v>0.0205036438310359</v>
      </c>
      <c r="K31" s="7">
        <v>0.0123964560913794</v>
      </c>
      <c r="L31" s="7">
        <v>0.0103707242236317</v>
      </c>
      <c r="M31" s="7">
        <v>0.0196408751076322</v>
      </c>
      <c r="N31" s="7">
        <v>0.0218545629660648</v>
      </c>
      <c r="O31" s="7">
        <v>0.0206427702594444</v>
      </c>
      <c r="P31" s="7">
        <v>2.3830985336811</v>
      </c>
      <c r="Q31" s="7">
        <v>2.25351922235915</v>
      </c>
    </row>
    <row r="32">
      <c r="A32" s="6" t="s">
        <v>16</v>
      </c>
      <c r="B32" s="7">
        <v>0.815273508121279</v>
      </c>
      <c r="C32" s="7">
        <v>0.949778399121015</v>
      </c>
      <c r="D32" s="7">
        <v>0.91844395443997</v>
      </c>
      <c r="E32" s="7">
        <v>0.8360904476578</v>
      </c>
      <c r="F32" s="7">
        <v>0.720201083526117</v>
      </c>
      <c r="G32" s="7">
        <v>0.741026992393718</v>
      </c>
      <c r="H32" s="7">
        <v>16.2568519947692</v>
      </c>
      <c r="I32" s="7">
        <v>2.2157971931028</v>
      </c>
      <c r="J32" s="7">
        <v>0.028811928841657</v>
      </c>
      <c r="K32" s="7">
        <v>0.00942017211595441</v>
      </c>
      <c r="L32" s="7">
        <v>0.0112205332420893</v>
      </c>
      <c r="M32" s="7">
        <v>0.0198387988812441</v>
      </c>
      <c r="N32" s="7">
        <v>0.0530437983321158</v>
      </c>
      <c r="O32" s="7">
        <v>0.0605965828766203</v>
      </c>
      <c r="P32" s="7">
        <v>3.25574367242033</v>
      </c>
      <c r="Q32" s="7">
        <v>0.577572818907132</v>
      </c>
    </row>
    <row r="33">
      <c r="A33" s="6" t="s">
        <v>17</v>
      </c>
      <c r="B33" s="7">
        <v>0.87148971298894</v>
      </c>
      <c r="C33" s="7">
        <v>0.923460924947029</v>
      </c>
      <c r="D33" s="7">
        <v>0.915633096709707</v>
      </c>
      <c r="E33" s="7">
        <v>0.870163991897495</v>
      </c>
      <c r="F33" s="7">
        <v>0.874062300675675</v>
      </c>
      <c r="G33" s="7">
        <v>0.870136806910935</v>
      </c>
      <c r="H33" s="7">
        <v>7.50614533732391</v>
      </c>
      <c r="I33" s="7">
        <v>5.34488336378206</v>
      </c>
      <c r="J33" s="7">
        <v>0.0253035199530029</v>
      </c>
      <c r="K33" s="7">
        <v>0.0131778344331354</v>
      </c>
      <c r="L33" s="7">
        <v>0.0194198371755858</v>
      </c>
      <c r="M33" s="7">
        <v>0.0249637473982525</v>
      </c>
      <c r="N33" s="7">
        <v>0.0283748001765819</v>
      </c>
      <c r="O33" s="7">
        <v>0.0253568083595049</v>
      </c>
      <c r="P33" s="7">
        <v>2.53123618256882</v>
      </c>
      <c r="Q33" s="7">
        <v>2.2619889453679</v>
      </c>
    </row>
    <row r="34">
      <c r="A34" s="6" t="s">
        <v>18</v>
      </c>
      <c r="B34" s="7">
        <v>0.729041904530285</v>
      </c>
      <c r="C34" s="7">
        <v>0.760345117536536</v>
      </c>
      <c r="D34" s="7">
        <v>0.742747864630351</v>
      </c>
      <c r="E34" s="7">
        <v>0.702613114794388</v>
      </c>
      <c r="F34" s="7">
        <v>0.699951292827061</v>
      </c>
      <c r="G34" s="7">
        <v>0.701012619515337</v>
      </c>
      <c r="H34" s="7">
        <v>13.1263492255319</v>
      </c>
      <c r="I34" s="7">
        <v>13.9694603214395</v>
      </c>
      <c r="J34" s="7">
        <v>0.0159797831241203</v>
      </c>
      <c r="K34" s="7">
        <v>0.0343256821260768</v>
      </c>
      <c r="L34" s="7">
        <v>0.0291783959771279</v>
      </c>
      <c r="M34" s="7">
        <v>0.0103092288163077</v>
      </c>
      <c r="N34" s="7">
        <v>0.0104754374028544</v>
      </c>
      <c r="O34" s="7">
        <v>0.0100232724004856</v>
      </c>
      <c r="P34" s="7">
        <v>1.1829361807623</v>
      </c>
      <c r="Q34" s="7">
        <v>0.988584485438127</v>
      </c>
    </row>
    <row r="35">
      <c r="A35" s="6" t="s">
        <v>19</v>
      </c>
      <c r="B35" s="7">
        <v>0.930435870925613</v>
      </c>
      <c r="C35" s="7">
        <v>0.955469452603778</v>
      </c>
      <c r="D35" s="7">
        <v>0.945674150206414</v>
      </c>
      <c r="E35" s="7">
        <v>0.930163001893039</v>
      </c>
      <c r="F35" s="7">
        <v>0.925232795277673</v>
      </c>
      <c r="G35" s="7">
        <v>0.926624866512056</v>
      </c>
      <c r="H35" s="7">
        <v>2.78309843826522</v>
      </c>
      <c r="I35" s="7">
        <v>4.17331446917342</v>
      </c>
      <c r="J35" s="7">
        <v>0.013523934786671</v>
      </c>
      <c r="K35" s="7">
        <v>0.0144236237656377</v>
      </c>
      <c r="L35" s="7">
        <v>0.0168652022848201</v>
      </c>
      <c r="M35" s="7">
        <v>0.016928649219819</v>
      </c>
      <c r="N35" s="7">
        <v>0.010858782542659</v>
      </c>
      <c r="O35" s="7">
        <v>0.0129541740933341</v>
      </c>
      <c r="P35" s="7">
        <v>1.76000783508694</v>
      </c>
      <c r="Q35" s="7">
        <v>1.36753516266766</v>
      </c>
    </row>
    <row r="36">
      <c r="A36" s="6" t="s">
        <v>20</v>
      </c>
      <c r="B36" s="7">
        <f t="shared" ref="B36:Q36" si="3">MEDIAN(B28:B35)</f>
        <v>0.8291206568</v>
      </c>
      <c r="C36" s="7">
        <f t="shared" si="3"/>
        <v>0.8988790952</v>
      </c>
      <c r="D36" s="7">
        <f t="shared" si="3"/>
        <v>0.855507413</v>
      </c>
      <c r="E36" s="7">
        <f t="shared" si="3"/>
        <v>0.8099219374</v>
      </c>
      <c r="F36" s="7">
        <f t="shared" si="3"/>
        <v>0.8154944051</v>
      </c>
      <c r="G36" s="7">
        <f t="shared" si="3"/>
        <v>0.7788271679</v>
      </c>
      <c r="H36" s="7">
        <f t="shared" si="3"/>
        <v>9.724408779</v>
      </c>
      <c r="I36" s="7">
        <f t="shared" si="3"/>
        <v>4.759098916</v>
      </c>
      <c r="J36" s="7">
        <f t="shared" si="3"/>
        <v>0.02290358189</v>
      </c>
      <c r="K36" s="7">
        <f t="shared" si="3"/>
        <v>0.01903685315</v>
      </c>
      <c r="L36" s="7">
        <f t="shared" si="3"/>
        <v>0.02205952434</v>
      </c>
      <c r="M36" s="7">
        <f t="shared" si="3"/>
        <v>0.01973983699</v>
      </c>
      <c r="N36" s="7">
        <f t="shared" si="3"/>
        <v>0.03162491617</v>
      </c>
      <c r="O36" s="7">
        <f t="shared" si="3"/>
        <v>0.02299978931</v>
      </c>
      <c r="P36" s="7">
        <f t="shared" si="3"/>
        <v>2.431918192</v>
      </c>
      <c r="Q36" s="7">
        <f t="shared" si="3"/>
        <v>1.685944985</v>
      </c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>
      <c r="A38" s="3" t="s">
        <v>23</v>
      </c>
      <c r="B38" s="3"/>
      <c r="C38" s="3"/>
      <c r="D38" s="3"/>
      <c r="E38" s="3"/>
      <c r="F38" s="3"/>
      <c r="G38" s="3"/>
      <c r="H38" s="3"/>
      <c r="I38" s="3"/>
      <c r="J38" s="4" t="s">
        <v>2</v>
      </c>
    </row>
    <row r="39">
      <c r="A39" s="5" t="s">
        <v>3</v>
      </c>
      <c r="B39" s="5" t="s">
        <v>4</v>
      </c>
      <c r="C39" s="5" t="s">
        <v>5</v>
      </c>
      <c r="D39" s="5" t="s">
        <v>6</v>
      </c>
      <c r="E39" s="5" t="s">
        <v>7</v>
      </c>
      <c r="F39" s="5" t="s">
        <v>8</v>
      </c>
      <c r="G39" s="5" t="s">
        <v>9</v>
      </c>
      <c r="H39" s="5" t="s">
        <v>10</v>
      </c>
      <c r="I39" s="5" t="s">
        <v>11</v>
      </c>
      <c r="J39" s="5" t="s">
        <v>4</v>
      </c>
      <c r="K39" s="5" t="s">
        <v>5</v>
      </c>
      <c r="L39" s="5" t="s">
        <v>6</v>
      </c>
      <c r="M39" s="5" t="s">
        <v>7</v>
      </c>
      <c r="N39" s="5" t="s">
        <v>8</v>
      </c>
      <c r="O39" s="5" t="s">
        <v>9</v>
      </c>
      <c r="P39" s="5" t="s">
        <v>10</v>
      </c>
      <c r="Q39" s="5" t="s">
        <v>11</v>
      </c>
    </row>
    <row r="40">
      <c r="A40" s="6" t="s">
        <v>12</v>
      </c>
      <c r="B40" s="7">
        <v>0.901333333333333</v>
      </c>
      <c r="C40" s="7">
        <v>0.937291724319896</v>
      </c>
      <c r="D40" s="7">
        <v>0.915686809562543</v>
      </c>
      <c r="E40" s="7">
        <v>0.892455693726692</v>
      </c>
      <c r="F40" s="7">
        <v>0.848862534732211</v>
      </c>
      <c r="G40" s="7">
        <v>0.866500058194235</v>
      </c>
      <c r="H40" s="7">
        <v>7.06666666666666</v>
      </c>
      <c r="I40" s="7">
        <v>2.8</v>
      </c>
      <c r="J40" s="7">
        <v>0.00339934634239517</v>
      </c>
      <c r="K40" s="7">
        <v>0.00399262489457319</v>
      </c>
      <c r="L40" s="7">
        <v>0.00925477403837902</v>
      </c>
      <c r="M40" s="7">
        <v>0.0189380007078557</v>
      </c>
      <c r="N40" s="7">
        <v>0.0100935309759432</v>
      </c>
      <c r="O40" s="7">
        <v>0.00933745743652162</v>
      </c>
      <c r="P40" s="7">
        <v>0.853749898324379</v>
      </c>
      <c r="Q40" s="7">
        <v>1.06666666666666</v>
      </c>
    </row>
    <row r="41">
      <c r="A41" s="6" t="s">
        <v>13</v>
      </c>
      <c r="B41" s="7">
        <v>0.889353071126263</v>
      </c>
      <c r="C41" s="7">
        <v>0.825129520309474</v>
      </c>
      <c r="D41" s="7">
        <v>0.805030634232914</v>
      </c>
      <c r="E41" s="7">
        <v>0.909581645216201</v>
      </c>
      <c r="F41" s="7">
        <v>0.642869642209544</v>
      </c>
      <c r="G41" s="7">
        <v>0.687425498475075</v>
      </c>
      <c r="H41" s="7">
        <v>0.41563221583708</v>
      </c>
      <c r="I41" s="7">
        <v>10.6490606715365</v>
      </c>
      <c r="J41" s="7">
        <v>0.0261083519581862</v>
      </c>
      <c r="K41" s="7">
        <v>0.0539495112167341</v>
      </c>
      <c r="L41" s="7">
        <v>0.0534745498489678</v>
      </c>
      <c r="M41" s="7">
        <v>0.0501848279142393</v>
      </c>
      <c r="N41" s="7">
        <v>0.0367799424827983</v>
      </c>
      <c r="O41" s="7">
        <v>0.0514115463593764</v>
      </c>
      <c r="P41" s="7">
        <v>0.642820313131281</v>
      </c>
      <c r="Q41" s="7">
        <v>2.49044042582911</v>
      </c>
    </row>
    <row r="42">
      <c r="A42" s="6" t="s">
        <v>14</v>
      </c>
      <c r="B42" s="7">
        <v>0.904666666666666</v>
      </c>
      <c r="C42" s="7">
        <v>0.604547235232958</v>
      </c>
      <c r="D42" s="7">
        <v>0.54690613560001</v>
      </c>
      <c r="E42" s="7">
        <v>0.452333333333333</v>
      </c>
      <c r="F42" s="7">
        <v>0.5</v>
      </c>
      <c r="G42" s="7">
        <v>0.474968219731584</v>
      </c>
      <c r="H42" s="7">
        <v>0.0</v>
      </c>
      <c r="I42" s="7">
        <v>9.53333333333333</v>
      </c>
      <c r="J42" s="7">
        <v>0.00618241233033045</v>
      </c>
      <c r="K42" s="7">
        <v>0.098313196030628</v>
      </c>
      <c r="L42" s="7">
        <v>0.0260706063553392</v>
      </c>
      <c r="M42" s="7">
        <v>0.00309120616516522</v>
      </c>
      <c r="N42" s="7">
        <v>0.0</v>
      </c>
      <c r="O42" s="7">
        <v>0.00170335529821126</v>
      </c>
      <c r="P42" s="7">
        <v>0.0</v>
      </c>
      <c r="Q42" s="7">
        <v>0.618241233033046</v>
      </c>
    </row>
    <row r="43">
      <c r="A43" s="6" t="s">
        <v>15</v>
      </c>
      <c r="B43" s="7">
        <v>0.901333333333333</v>
      </c>
      <c r="C43" s="7">
        <v>0.950688217469243</v>
      </c>
      <c r="D43" s="7">
        <v>0.944279188990146</v>
      </c>
      <c r="E43" s="7">
        <v>0.901893713443941</v>
      </c>
      <c r="F43" s="7">
        <v>0.901435563640503</v>
      </c>
      <c r="G43" s="7">
        <v>0.90120838701312</v>
      </c>
      <c r="H43" s="7">
        <v>5.8</v>
      </c>
      <c r="I43" s="7">
        <v>4.06666666666666</v>
      </c>
      <c r="J43" s="7">
        <v>0.0134329611197398</v>
      </c>
      <c r="K43" s="7">
        <v>0.0150484311308959</v>
      </c>
      <c r="L43" s="7">
        <v>0.0198907308248169</v>
      </c>
      <c r="M43" s="7">
        <v>0.013200536215953</v>
      </c>
      <c r="N43" s="7">
        <v>0.0128025292691356</v>
      </c>
      <c r="O43" s="7">
        <v>0.0134240895241797</v>
      </c>
      <c r="P43" s="7">
        <v>1.32664991614215</v>
      </c>
      <c r="Q43" s="7">
        <v>0.442216638714053</v>
      </c>
    </row>
    <row r="44">
      <c r="A44" s="6" t="s">
        <v>16</v>
      </c>
      <c r="B44" s="7">
        <v>0.86092448538669</v>
      </c>
      <c r="C44" s="7">
        <v>0.718658205849445</v>
      </c>
      <c r="D44" s="7">
        <v>0.729096698029014</v>
      </c>
      <c r="E44" s="7">
        <v>0.892751400113659</v>
      </c>
      <c r="F44" s="7">
        <v>0.610184699755367</v>
      </c>
      <c r="G44" s="7">
        <v>0.640999817024733</v>
      </c>
      <c r="H44" s="7">
        <v>0.290887000437482</v>
      </c>
      <c r="I44" s="7">
        <v>13.6166644608934</v>
      </c>
      <c r="J44" s="7">
        <v>0.0161032456018364</v>
      </c>
      <c r="K44" s="7">
        <v>0.122243018516295</v>
      </c>
      <c r="L44" s="7">
        <v>0.0696192482299296</v>
      </c>
      <c r="M44" s="7">
        <v>0.0218710003163697</v>
      </c>
      <c r="N44" s="7">
        <v>0.00734882647222047</v>
      </c>
      <c r="O44" s="7">
        <v>0.00864153273322597</v>
      </c>
      <c r="P44" s="7">
        <v>0.238602421990795</v>
      </c>
      <c r="Q44" s="7">
        <v>1.81140955932803</v>
      </c>
    </row>
    <row r="45">
      <c r="A45" s="6" t="s">
        <v>17</v>
      </c>
      <c r="B45" s="7">
        <v>0.855261779046374</v>
      </c>
      <c r="C45" s="7">
        <v>0.903001930760244</v>
      </c>
      <c r="D45" s="7">
        <v>0.903192484143824</v>
      </c>
      <c r="E45" s="7">
        <v>0.864161701769362</v>
      </c>
      <c r="F45" s="7">
        <v>0.814593251406166</v>
      </c>
      <c r="G45" s="7">
        <v>0.82722013841606</v>
      </c>
      <c r="H45" s="7">
        <v>4.0241963268992</v>
      </c>
      <c r="I45" s="7">
        <v>10.4496257684633</v>
      </c>
      <c r="J45" s="7">
        <v>0.0184742068960895</v>
      </c>
      <c r="K45" s="7">
        <v>0.0289510952404612</v>
      </c>
      <c r="L45" s="7">
        <v>0.0261785711385981</v>
      </c>
      <c r="M45" s="7">
        <v>0.0279094948396153</v>
      </c>
      <c r="N45" s="7">
        <v>0.0319354299979095</v>
      </c>
      <c r="O45" s="7">
        <v>0.0266188679144796</v>
      </c>
      <c r="P45" s="7">
        <v>3.21029986335729</v>
      </c>
      <c r="Q45" s="7">
        <v>3.56446379318621</v>
      </c>
    </row>
    <row r="46">
      <c r="A46" s="6" t="s">
        <v>18</v>
      </c>
      <c r="B46" s="7">
        <v>0.89215156047305</v>
      </c>
      <c r="C46" s="7">
        <v>0.943147097840565</v>
      </c>
      <c r="D46" s="7">
        <v>0.932168038184699</v>
      </c>
      <c r="E46" s="7">
        <v>0.875440358247228</v>
      </c>
      <c r="F46" s="7">
        <v>0.884358875777292</v>
      </c>
      <c r="G46" s="7">
        <v>0.879101558116647</v>
      </c>
      <c r="H46" s="7">
        <v>6.2521062915687</v>
      </c>
      <c r="I46" s="7">
        <v>4.53273766112623</v>
      </c>
      <c r="J46" s="7">
        <v>0.0193937770673117</v>
      </c>
      <c r="K46" s="7">
        <v>0.0217474076981302</v>
      </c>
      <c r="L46" s="7">
        <v>0.0185614560158193</v>
      </c>
      <c r="M46" s="7">
        <v>0.0183473823362622</v>
      </c>
      <c r="N46" s="7">
        <v>0.0207697173182734</v>
      </c>
      <c r="O46" s="7">
        <v>0.0187334757343668</v>
      </c>
      <c r="P46" s="7">
        <v>1.39941439184904</v>
      </c>
      <c r="Q46" s="7">
        <v>1.36365509838609</v>
      </c>
    </row>
    <row r="47">
      <c r="A47" s="6" t="s">
        <v>19</v>
      </c>
      <c r="B47" s="7">
        <v>0.956255850401443</v>
      </c>
      <c r="C47" s="7">
        <v>0.963972580678861</v>
      </c>
      <c r="D47" s="7">
        <v>0.952949192048156</v>
      </c>
      <c r="E47" s="7">
        <v>0.957611339357666</v>
      </c>
      <c r="F47" s="7">
        <v>0.94932661733605</v>
      </c>
      <c r="G47" s="7">
        <v>0.953051291501414</v>
      </c>
      <c r="H47" s="7">
        <v>1.32231906574365</v>
      </c>
      <c r="I47" s="7">
        <v>3.05209589411202</v>
      </c>
      <c r="J47" s="7">
        <v>0.00840616324623986</v>
      </c>
      <c r="K47" s="7">
        <v>0.0160904511645467</v>
      </c>
      <c r="L47" s="7">
        <v>0.029134741421246</v>
      </c>
      <c r="M47" s="7">
        <v>0.0095990812668127</v>
      </c>
      <c r="N47" s="7">
        <v>0.00860973309415331</v>
      </c>
      <c r="O47" s="7">
        <v>0.00892998692201259</v>
      </c>
      <c r="P47" s="7">
        <v>0.619844987541004</v>
      </c>
      <c r="Q47" s="7">
        <v>0.569611973725449</v>
      </c>
    </row>
    <row r="48">
      <c r="A48" s="6" t="s">
        <v>20</v>
      </c>
      <c r="B48" s="7">
        <f t="shared" ref="B48:Q48" si="4">MEDIAN(B40:B47)</f>
        <v>0.8967424469</v>
      </c>
      <c r="C48" s="7">
        <f t="shared" si="4"/>
        <v>0.9201468275</v>
      </c>
      <c r="D48" s="7">
        <f t="shared" si="4"/>
        <v>0.9094396469</v>
      </c>
      <c r="E48" s="7">
        <f t="shared" si="4"/>
        <v>0.8926035469</v>
      </c>
      <c r="F48" s="7">
        <f t="shared" si="4"/>
        <v>0.8317278931</v>
      </c>
      <c r="G48" s="7">
        <f t="shared" si="4"/>
        <v>0.8468600983</v>
      </c>
      <c r="H48" s="7">
        <f t="shared" si="4"/>
        <v>2.673257696</v>
      </c>
      <c r="I48" s="7">
        <f t="shared" si="4"/>
        <v>7.033035497</v>
      </c>
      <c r="J48" s="7">
        <f t="shared" si="4"/>
        <v>0.01476810336</v>
      </c>
      <c r="K48" s="7">
        <f t="shared" si="4"/>
        <v>0.02534925147</v>
      </c>
      <c r="L48" s="7">
        <f t="shared" si="4"/>
        <v>0.02612458875</v>
      </c>
      <c r="M48" s="7">
        <f t="shared" si="4"/>
        <v>0.01864269152</v>
      </c>
      <c r="N48" s="7">
        <f t="shared" si="4"/>
        <v>0.01144803012</v>
      </c>
      <c r="O48" s="7">
        <f t="shared" si="4"/>
        <v>0.01138077348</v>
      </c>
      <c r="P48" s="7">
        <f t="shared" si="4"/>
        <v>0.7482851057</v>
      </c>
      <c r="Q48" s="7">
        <f t="shared" si="4"/>
        <v>1.215160883</v>
      </c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>
      <c r="A50" s="3" t="s">
        <v>24</v>
      </c>
      <c r="B50" s="3"/>
      <c r="C50" s="3"/>
      <c r="D50" s="3"/>
      <c r="E50" s="3"/>
      <c r="F50" s="3"/>
      <c r="G50" s="3"/>
      <c r="H50" s="3"/>
      <c r="I50" s="3"/>
      <c r="J50" s="4" t="s">
        <v>2</v>
      </c>
    </row>
    <row r="51">
      <c r="A51" s="5" t="s">
        <v>3</v>
      </c>
      <c r="B51" s="5" t="s">
        <v>4</v>
      </c>
      <c r="C51" s="5" t="s">
        <v>5</v>
      </c>
      <c r="D51" s="5" t="s">
        <v>6</v>
      </c>
      <c r="E51" s="5" t="s">
        <v>7</v>
      </c>
      <c r="F51" s="5" t="s">
        <v>8</v>
      </c>
      <c r="G51" s="5" t="s">
        <v>9</v>
      </c>
      <c r="H51" s="5" t="s">
        <v>10</v>
      </c>
      <c r="I51" s="5" t="s">
        <v>11</v>
      </c>
      <c r="J51" s="5" t="s">
        <v>4</v>
      </c>
      <c r="K51" s="5" t="s">
        <v>5</v>
      </c>
      <c r="L51" s="5" t="s">
        <v>6</v>
      </c>
      <c r="M51" s="5" t="s">
        <v>7</v>
      </c>
      <c r="N51" s="5" t="s">
        <v>8</v>
      </c>
      <c r="O51" s="5" t="s">
        <v>9</v>
      </c>
      <c r="P51" s="5" t="s">
        <v>10</v>
      </c>
      <c r="Q51" s="5" t="s">
        <v>11</v>
      </c>
    </row>
    <row r="52">
      <c r="A52" s="6" t="s">
        <v>12</v>
      </c>
      <c r="B52" s="7">
        <v>0.910666666666666</v>
      </c>
      <c r="C52" s="7">
        <v>0.941257213407953</v>
      </c>
      <c r="D52" s="7">
        <v>0.929664981305287</v>
      </c>
      <c r="E52" s="7">
        <v>0.916044491109081</v>
      </c>
      <c r="F52" s="7">
        <v>0.853659901735811</v>
      </c>
      <c r="G52" s="7">
        <v>0.877960563276641</v>
      </c>
      <c r="H52" s="7">
        <v>7.33333333333333</v>
      </c>
      <c r="I52" s="7">
        <v>1.6</v>
      </c>
      <c r="J52" s="7">
        <v>0.0140475383371369</v>
      </c>
      <c r="K52" s="7">
        <v>0.0135608955913597</v>
      </c>
      <c r="L52" s="7">
        <v>0.0162473297523504</v>
      </c>
      <c r="M52" s="7">
        <v>0.0125166035251536</v>
      </c>
      <c r="N52" s="7">
        <v>0.0219496652245301</v>
      </c>
      <c r="O52" s="7">
        <v>0.0185097954655103</v>
      </c>
      <c r="P52" s="7">
        <v>1.33333333333333</v>
      </c>
      <c r="Q52" s="7">
        <v>0.388730126323019</v>
      </c>
    </row>
    <row r="53">
      <c r="A53" s="6" t="s">
        <v>13</v>
      </c>
      <c r="B53" s="7">
        <v>0.660697073388419</v>
      </c>
      <c r="C53" s="7">
        <v>0.612996767238804</v>
      </c>
      <c r="D53" s="7">
        <v>0.601549903518185</v>
      </c>
      <c r="E53" s="7">
        <v>0.67309786626208</v>
      </c>
      <c r="F53" s="7">
        <v>0.535971814533165</v>
      </c>
      <c r="G53" s="7">
        <v>0.480786114729014</v>
      </c>
      <c r="H53" s="7">
        <v>2.12566376897755</v>
      </c>
      <c r="I53" s="7">
        <v>31.8046288921805</v>
      </c>
      <c r="J53" s="7">
        <v>0.0325557706581372</v>
      </c>
      <c r="K53" s="7">
        <v>0.0331517903606329</v>
      </c>
      <c r="L53" s="7">
        <v>0.0259700716387624</v>
      </c>
      <c r="M53" s="7">
        <v>0.0707442983173203</v>
      </c>
      <c r="N53" s="7">
        <v>0.0191104053401322</v>
      </c>
      <c r="O53" s="7">
        <v>0.0399098616238604</v>
      </c>
      <c r="P53" s="7">
        <v>1.75526614454958</v>
      </c>
      <c r="Q53" s="7">
        <v>3.59561239813084</v>
      </c>
    </row>
    <row r="54">
      <c r="A54" s="6" t="s">
        <v>14</v>
      </c>
      <c r="B54" s="7">
        <v>0.902666666666666</v>
      </c>
      <c r="C54" s="7">
        <v>0.349204972727713</v>
      </c>
      <c r="D54" s="7">
        <v>0.475391050840929</v>
      </c>
      <c r="E54" s="7">
        <v>0.451333333333333</v>
      </c>
      <c r="F54" s="7">
        <v>0.5</v>
      </c>
      <c r="G54" s="7">
        <v>0.474404845510945</v>
      </c>
      <c r="H54" s="7">
        <v>0.0</v>
      </c>
      <c r="I54" s="7">
        <v>9.73333333333333</v>
      </c>
      <c r="J54" s="7">
        <v>0.0108320512061812</v>
      </c>
      <c r="K54" s="7">
        <v>0.179961096566737</v>
      </c>
      <c r="L54" s="7">
        <v>0.0485442026043483</v>
      </c>
      <c r="M54" s="7">
        <v>0.00541602560309065</v>
      </c>
      <c r="N54" s="7">
        <v>0.0</v>
      </c>
      <c r="O54" s="7">
        <v>0.00298939293961746</v>
      </c>
      <c r="P54" s="7">
        <v>0.0</v>
      </c>
      <c r="Q54" s="7">
        <v>1.08320512061812</v>
      </c>
    </row>
    <row r="55">
      <c r="A55" s="6" t="s">
        <v>15</v>
      </c>
      <c r="B55" s="7">
        <v>0.880666666666666</v>
      </c>
      <c r="C55" s="7">
        <v>0.940905806203966</v>
      </c>
      <c r="D55" s="7">
        <v>0.927191013129451</v>
      </c>
      <c r="E55" s="7">
        <v>0.879672069234217</v>
      </c>
      <c r="F55" s="7">
        <v>0.880040752731456</v>
      </c>
      <c r="G55" s="7">
        <v>0.879429057638597</v>
      </c>
      <c r="H55" s="7">
        <v>6.46666666666666</v>
      </c>
      <c r="I55" s="7">
        <v>5.46666666666666</v>
      </c>
      <c r="J55" s="7">
        <v>0.0271129325435503</v>
      </c>
      <c r="K55" s="7">
        <v>0.00897615720174993</v>
      </c>
      <c r="L55" s="7">
        <v>0.00744563410640037</v>
      </c>
      <c r="M55" s="7">
        <v>0.0269965219247948</v>
      </c>
      <c r="N55" s="7">
        <v>0.0264200182589419</v>
      </c>
      <c r="O55" s="7">
        <v>0.0267035842121742</v>
      </c>
      <c r="P55" s="7">
        <v>1.89267594221045</v>
      </c>
      <c r="Q55" s="7">
        <v>1.40791413879619</v>
      </c>
    </row>
    <row r="56">
      <c r="A56" s="6" t="s">
        <v>16</v>
      </c>
      <c r="B56" s="7">
        <v>0.366666666666666</v>
      </c>
      <c r="C56" s="7">
        <v>0.65295638543102</v>
      </c>
      <c r="D56" s="7">
        <v>0.625434718518347</v>
      </c>
      <c r="E56" s="7">
        <v>0.621179538544491</v>
      </c>
      <c r="F56" s="7">
        <v>0.55939031078892</v>
      </c>
      <c r="G56" s="7">
        <v>0.338597521940477</v>
      </c>
      <c r="H56" s="7">
        <v>0.333333333333333</v>
      </c>
      <c r="I56" s="7">
        <v>63.0</v>
      </c>
      <c r="J56" s="7">
        <v>0.093404734593298</v>
      </c>
      <c r="K56" s="7">
        <v>0.177711311715855</v>
      </c>
      <c r="L56" s="7">
        <v>0.116910888525669</v>
      </c>
      <c r="M56" s="7">
        <v>0.0587935715592728</v>
      </c>
      <c r="N56" s="7">
        <v>0.0540922232703749</v>
      </c>
      <c r="O56" s="7">
        <v>0.110421909860411</v>
      </c>
      <c r="P56" s="7">
        <v>0.298142396999971</v>
      </c>
      <c r="Q56" s="7">
        <v>9.56149686096388</v>
      </c>
    </row>
    <row r="57">
      <c r="A57" s="6" t="s">
        <v>17</v>
      </c>
      <c r="B57" s="7">
        <v>0.849333333333333</v>
      </c>
      <c r="C57" s="7">
        <v>0.87113789919548</v>
      </c>
      <c r="D57" s="7">
        <v>0.806177234737171</v>
      </c>
      <c r="E57" s="7">
        <v>0.794015850425458</v>
      </c>
      <c r="F57" s="7">
        <v>0.6843631719491</v>
      </c>
      <c r="G57" s="7">
        <v>0.712091334966834</v>
      </c>
      <c r="H57" s="7">
        <v>3.53333333333333</v>
      </c>
      <c r="I57" s="7">
        <v>11.5333333333333</v>
      </c>
      <c r="J57" s="7">
        <v>0.0038873012632302</v>
      </c>
      <c r="K57" s="7">
        <v>0.0290700536810935</v>
      </c>
      <c r="L57" s="7">
        <v>0.0241193180243346</v>
      </c>
      <c r="M57" s="7">
        <v>0.0413788730116971</v>
      </c>
      <c r="N57" s="7">
        <v>0.0213240742452655</v>
      </c>
      <c r="O57" s="7">
        <v>0.0114429960740915</v>
      </c>
      <c r="P57" s="7">
        <v>2.07203603572267</v>
      </c>
      <c r="Q57" s="7">
        <v>1.77137736741152</v>
      </c>
    </row>
    <row r="58">
      <c r="A58" s="6" t="s">
        <v>18</v>
      </c>
      <c r="B58" s="7">
        <v>0.845333333333333</v>
      </c>
      <c r="C58" s="7">
        <v>0.789705248352475</v>
      </c>
      <c r="D58" s="7">
        <v>0.700778201626608</v>
      </c>
      <c r="E58" s="7">
        <v>0.701383459675453</v>
      </c>
      <c r="F58" s="7">
        <v>0.704504871022376</v>
      </c>
      <c r="G58" s="7">
        <v>0.702122459166111</v>
      </c>
      <c r="H58" s="7">
        <v>8.06666666666666</v>
      </c>
      <c r="I58" s="7">
        <v>7.4</v>
      </c>
      <c r="J58" s="7">
        <v>0.0281740621454872</v>
      </c>
      <c r="K58" s="7">
        <v>0.0401354795032159</v>
      </c>
      <c r="L58" s="7">
        <v>0.0503465865305742</v>
      </c>
      <c r="M58" s="7">
        <v>0.0413340374954544</v>
      </c>
      <c r="N58" s="7">
        <v>0.0305145346377517</v>
      </c>
      <c r="O58" s="7">
        <v>0.0359861513237353</v>
      </c>
      <c r="P58" s="7">
        <v>2.19494368442057</v>
      </c>
      <c r="Q58" s="7">
        <v>0.879393730551528</v>
      </c>
    </row>
    <row r="59">
      <c r="A59" s="6" t="s">
        <v>19</v>
      </c>
      <c r="B59" s="7">
        <v>0.898</v>
      </c>
      <c r="C59" s="7">
        <v>0.929348410263066</v>
      </c>
      <c r="D59" s="7">
        <v>0.905521690382604</v>
      </c>
      <c r="E59" s="7">
        <v>0.884353362093246</v>
      </c>
      <c r="F59" s="7">
        <v>0.896874590514512</v>
      </c>
      <c r="G59" s="7">
        <v>0.889576251953583</v>
      </c>
      <c r="H59" s="7">
        <v>6.53333333333333</v>
      </c>
      <c r="I59" s="7">
        <v>3.66666666666666</v>
      </c>
      <c r="J59" s="7">
        <v>0.00956846672960485</v>
      </c>
      <c r="K59" s="7">
        <v>0.0109068397048593</v>
      </c>
      <c r="L59" s="7">
        <v>0.015960255416422</v>
      </c>
      <c r="M59" s="7">
        <v>0.0109470309055535</v>
      </c>
      <c r="N59" s="7">
        <v>0.00996908163603563</v>
      </c>
      <c r="O59" s="7">
        <v>0.010309972365903</v>
      </c>
      <c r="P59" s="7">
        <v>0.90921211313239</v>
      </c>
      <c r="Q59" s="7">
        <v>0.632455532033676</v>
      </c>
    </row>
    <row r="60">
      <c r="A60" s="6" t="s">
        <v>20</v>
      </c>
      <c r="B60" s="7">
        <f t="shared" ref="B60:Q60" si="5">MEDIAN(B52:B59)</f>
        <v>0.865</v>
      </c>
      <c r="C60" s="7">
        <f t="shared" si="5"/>
        <v>0.8304215738</v>
      </c>
      <c r="D60" s="7">
        <f t="shared" si="5"/>
        <v>0.7534777182</v>
      </c>
      <c r="E60" s="7">
        <f t="shared" si="5"/>
        <v>0.7476996551</v>
      </c>
      <c r="F60" s="7">
        <f t="shared" si="5"/>
        <v>0.6944340215</v>
      </c>
      <c r="G60" s="7">
        <f t="shared" si="5"/>
        <v>0.7071068971</v>
      </c>
      <c r="H60" s="7">
        <f t="shared" si="5"/>
        <v>5</v>
      </c>
      <c r="I60" s="7">
        <f t="shared" si="5"/>
        <v>8.566666667</v>
      </c>
      <c r="J60" s="7">
        <f t="shared" si="5"/>
        <v>0.02058023544</v>
      </c>
      <c r="K60" s="7">
        <f t="shared" si="5"/>
        <v>0.03111092202</v>
      </c>
      <c r="L60" s="7">
        <f t="shared" si="5"/>
        <v>0.02504469483</v>
      </c>
      <c r="M60" s="7">
        <f t="shared" si="5"/>
        <v>0.03416527971</v>
      </c>
      <c r="N60" s="7">
        <f t="shared" si="5"/>
        <v>0.02163686973</v>
      </c>
      <c r="O60" s="7">
        <f t="shared" si="5"/>
        <v>0.02260668984</v>
      </c>
      <c r="P60" s="7">
        <f t="shared" si="5"/>
        <v>1.544299739</v>
      </c>
      <c r="Q60" s="7">
        <f t="shared" si="5"/>
        <v>1.24555963</v>
      </c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>
      <c r="A62" s="3" t="s">
        <v>25</v>
      </c>
      <c r="B62" s="3"/>
      <c r="C62" s="3"/>
      <c r="D62" s="3"/>
      <c r="E62" s="3"/>
      <c r="F62" s="3"/>
      <c r="G62" s="3"/>
      <c r="H62" s="3"/>
      <c r="I62" s="3"/>
      <c r="J62" s="4" t="s">
        <v>2</v>
      </c>
    </row>
    <row r="63">
      <c r="A63" s="5" t="s">
        <v>3</v>
      </c>
      <c r="B63" s="5" t="s">
        <v>4</v>
      </c>
      <c r="C63" s="5" t="s">
        <v>5</v>
      </c>
      <c r="D63" s="5" t="s">
        <v>6</v>
      </c>
      <c r="E63" s="5" t="s">
        <v>7</v>
      </c>
      <c r="F63" s="5" t="s">
        <v>8</v>
      </c>
      <c r="G63" s="5" t="s">
        <v>9</v>
      </c>
      <c r="H63" s="5" t="s">
        <v>10</v>
      </c>
      <c r="I63" s="5" t="s">
        <v>11</v>
      </c>
      <c r="J63" s="5" t="s">
        <v>4</v>
      </c>
      <c r="K63" s="5" t="s">
        <v>5</v>
      </c>
      <c r="L63" s="5" t="s">
        <v>6</v>
      </c>
      <c r="M63" s="5" t="s">
        <v>7</v>
      </c>
      <c r="N63" s="5" t="s">
        <v>8</v>
      </c>
      <c r="O63" s="5" t="s">
        <v>9</v>
      </c>
      <c r="P63" s="5" t="s">
        <v>10</v>
      </c>
      <c r="Q63" s="5" t="s">
        <v>11</v>
      </c>
    </row>
    <row r="64">
      <c r="A64" s="6" t="s">
        <v>12</v>
      </c>
      <c r="B64" s="7">
        <v>0.831243656917541</v>
      </c>
      <c r="C64" s="7">
        <v>0.922218720408446</v>
      </c>
      <c r="D64" s="7">
        <v>0.898212433335652</v>
      </c>
      <c r="E64" s="7">
        <v>0.827899283607793</v>
      </c>
      <c r="F64" s="7">
        <v>0.797880149274678</v>
      </c>
      <c r="G64" s="7">
        <v>0.805993563837478</v>
      </c>
      <c r="H64" s="7">
        <v>11.5212218429187</v>
      </c>
      <c r="I64" s="7">
        <v>5.35441246532718</v>
      </c>
      <c r="J64" s="7">
        <v>0.0330747498446074</v>
      </c>
      <c r="K64" s="7">
        <v>0.0225185236409409</v>
      </c>
      <c r="L64" s="7">
        <v>0.0234525262687167</v>
      </c>
      <c r="M64" s="7">
        <v>0.0235618187638136</v>
      </c>
      <c r="N64" s="7">
        <v>0.0414849004032069</v>
      </c>
      <c r="O64" s="7">
        <v>0.0368416424436138</v>
      </c>
      <c r="P64" s="7">
        <v>3.89819128590005</v>
      </c>
      <c r="Q64" s="7">
        <v>1.28921685314109</v>
      </c>
    </row>
    <row r="65">
      <c r="A65" s="6" t="s">
        <v>13</v>
      </c>
      <c r="B65" s="7">
        <v>0.840490062581186</v>
      </c>
      <c r="C65" s="7">
        <v>0.605892220207512</v>
      </c>
      <c r="D65" s="7">
        <v>0.579906097825318</v>
      </c>
      <c r="E65" s="7">
        <v>0.473227667421357</v>
      </c>
      <c r="F65" s="7">
        <v>0.501331648601469</v>
      </c>
      <c r="G65" s="7">
        <v>0.466545606647124</v>
      </c>
      <c r="H65" s="7">
        <v>0.721804511278195</v>
      </c>
      <c r="I65" s="7">
        <v>15.2291892306031</v>
      </c>
      <c r="J65" s="7">
        <v>0.0195837175087813</v>
      </c>
      <c r="K65" s="7">
        <v>0.139502065180384</v>
      </c>
      <c r="L65" s="7">
        <v>0.0656987231801309</v>
      </c>
      <c r="M65" s="7">
        <v>0.106269445897589</v>
      </c>
      <c r="N65" s="7">
        <v>0.0119694978307514</v>
      </c>
      <c r="O65" s="7">
        <v>0.0238815610749179</v>
      </c>
      <c r="P65" s="7">
        <v>0.782605281858</v>
      </c>
      <c r="Q65" s="7">
        <v>2.10351405942457</v>
      </c>
    </row>
    <row r="66">
      <c r="A66" s="6" t="s">
        <v>14</v>
      </c>
      <c r="B66" s="7">
        <v>0.857191505653044</v>
      </c>
      <c r="C66" s="7">
        <v>0.353685391587292</v>
      </c>
      <c r="D66" s="7">
        <v>0.468336245708363</v>
      </c>
      <c r="E66" s="7">
        <v>0.428595752826521</v>
      </c>
      <c r="F66" s="7">
        <v>0.5</v>
      </c>
      <c r="G66" s="7">
        <v>0.461463629383885</v>
      </c>
      <c r="H66" s="7">
        <v>0.0</v>
      </c>
      <c r="I66" s="7">
        <v>14.2808494346955</v>
      </c>
      <c r="J66" s="7">
        <v>0.0238881435178776</v>
      </c>
      <c r="K66" s="7">
        <v>0.182244485339727</v>
      </c>
      <c r="L66" s="7">
        <v>0.0565214010913359</v>
      </c>
      <c r="M66" s="7">
        <v>0.0119440717589388</v>
      </c>
      <c r="N66" s="7">
        <v>0.0</v>
      </c>
      <c r="O66" s="7">
        <v>0.00691457567012566</v>
      </c>
      <c r="P66" s="7">
        <v>0.0</v>
      </c>
      <c r="Q66" s="7">
        <v>2.38881435178776</v>
      </c>
    </row>
    <row r="67">
      <c r="A67" s="6" t="s">
        <v>15</v>
      </c>
      <c r="B67" s="7">
        <v>0.883414793078427</v>
      </c>
      <c r="C67" s="7">
        <v>0.944963261482774</v>
      </c>
      <c r="D67" s="7">
        <v>0.940940809029476</v>
      </c>
      <c r="E67" s="7">
        <v>0.884696883008904</v>
      </c>
      <c r="F67" s="7">
        <v>0.883929710144533</v>
      </c>
      <c r="G67" s="7">
        <v>0.882203394613923</v>
      </c>
      <c r="H67" s="7">
        <v>4.75080254499199</v>
      </c>
      <c r="I67" s="7">
        <v>6.90771814716529</v>
      </c>
      <c r="J67" s="7">
        <v>0.0263974008406282</v>
      </c>
      <c r="K67" s="7">
        <v>0.0120166868525861</v>
      </c>
      <c r="L67" s="7">
        <v>0.0129490458327227</v>
      </c>
      <c r="M67" s="7">
        <v>0.0215432721306311</v>
      </c>
      <c r="N67" s="7">
        <v>0.0238775843602238</v>
      </c>
      <c r="O67" s="7">
        <v>0.0260149510694501</v>
      </c>
      <c r="P67" s="7">
        <v>1.51505926204797</v>
      </c>
      <c r="Q67" s="7">
        <v>3.34860992227011</v>
      </c>
    </row>
    <row r="68">
      <c r="A68" s="6" t="s">
        <v>16</v>
      </c>
      <c r="B68" s="7">
        <v>0.321093568003658</v>
      </c>
      <c r="C68" s="7">
        <v>0.594809616045365</v>
      </c>
      <c r="D68" s="7">
        <v>0.620545813435685</v>
      </c>
      <c r="E68" s="7">
        <v>0.481225247033156</v>
      </c>
      <c r="F68" s="7">
        <v>0.504461065959075</v>
      </c>
      <c r="G68" s="7">
        <v>0.258412822271734</v>
      </c>
      <c r="H68" s="7">
        <v>0.425979519940546</v>
      </c>
      <c r="I68" s="7">
        <v>67.4646636796935</v>
      </c>
      <c r="J68" s="7">
        <v>0.0403150941481473</v>
      </c>
      <c r="K68" s="7">
        <v>0.219540548451632</v>
      </c>
      <c r="L68" s="7">
        <v>0.148828868711589</v>
      </c>
      <c r="M68" s="7">
        <v>0.191835025913528</v>
      </c>
      <c r="N68" s="7">
        <v>0.0151868872337745</v>
      </c>
      <c r="O68" s="7">
        <v>0.0387949551452833</v>
      </c>
      <c r="P68" s="7">
        <v>0.348272480561512</v>
      </c>
      <c r="Q68" s="7">
        <v>3.96362606129871</v>
      </c>
    </row>
    <row r="69">
      <c r="A69" s="6" t="s">
        <v>17</v>
      </c>
      <c r="B69" s="7">
        <v>0.750029520737098</v>
      </c>
      <c r="C69" s="7">
        <v>0.876204178672179</v>
      </c>
      <c r="D69" s="7">
        <v>0.862083307233848</v>
      </c>
      <c r="E69" s="7">
        <v>0.783563805167578</v>
      </c>
      <c r="F69" s="7">
        <v>0.741213232510774</v>
      </c>
      <c r="G69" s="7">
        <v>0.73304013443421</v>
      </c>
      <c r="H69" s="7">
        <v>5.06354266951391</v>
      </c>
      <c r="I69" s="7">
        <v>19.9335052567762</v>
      </c>
      <c r="J69" s="7">
        <v>0.068996924950723</v>
      </c>
      <c r="K69" s="7">
        <v>0.0314241171222563</v>
      </c>
      <c r="L69" s="7">
        <v>0.0352842738782549</v>
      </c>
      <c r="M69" s="7">
        <v>0.0522721380506683</v>
      </c>
      <c r="N69" s="7">
        <v>0.0672527914985575</v>
      </c>
      <c r="O69" s="7">
        <v>0.0762483594525333</v>
      </c>
      <c r="P69" s="7">
        <v>3.24010408996671</v>
      </c>
      <c r="Q69" s="7">
        <v>8.16453260920318</v>
      </c>
    </row>
    <row r="70">
      <c r="A70" s="6" t="s">
        <v>18</v>
      </c>
      <c r="B70" s="7">
        <v>0.706410584212106</v>
      </c>
      <c r="C70" s="7">
        <v>0.758368946896793</v>
      </c>
      <c r="D70" s="7">
        <v>0.734612224781508</v>
      </c>
      <c r="E70" s="7">
        <v>0.677308019906384</v>
      </c>
      <c r="F70" s="7">
        <v>0.663557527569971</v>
      </c>
      <c r="G70" s="7">
        <v>0.666899018264724</v>
      </c>
      <c r="H70" s="7">
        <v>12.5902604154572</v>
      </c>
      <c r="I70" s="7">
        <v>16.7686811633321</v>
      </c>
      <c r="J70" s="7">
        <v>0.0255047533043159</v>
      </c>
      <c r="K70" s="7">
        <v>0.0364201627673705</v>
      </c>
      <c r="L70" s="7">
        <v>0.0319107969096358</v>
      </c>
      <c r="M70" s="7">
        <v>0.0236030794284973</v>
      </c>
      <c r="N70" s="7">
        <v>0.0221419882575688</v>
      </c>
      <c r="O70" s="7">
        <v>0.0219503243440207</v>
      </c>
      <c r="P70" s="7">
        <v>2.79843887601212</v>
      </c>
      <c r="Q70" s="7">
        <v>2.15680132909215</v>
      </c>
    </row>
    <row r="71">
      <c r="A71" s="6" t="s">
        <v>19</v>
      </c>
      <c r="B71" s="7">
        <v>0.940026663764488</v>
      </c>
      <c r="C71" s="7">
        <v>0.953299015113573</v>
      </c>
      <c r="D71" s="7">
        <v>0.948640992006548</v>
      </c>
      <c r="E71" s="7">
        <v>0.939316780800046</v>
      </c>
      <c r="F71" s="7">
        <v>0.936298468866033</v>
      </c>
      <c r="G71" s="7">
        <v>0.936675923692211</v>
      </c>
      <c r="H71" s="7">
        <v>2.58702000689267</v>
      </c>
      <c r="I71" s="7">
        <v>3.4103136166585</v>
      </c>
      <c r="J71" s="7">
        <v>0.0164763656226688</v>
      </c>
      <c r="K71" s="7">
        <v>0.027161919804383</v>
      </c>
      <c r="L71" s="7">
        <v>0.0306712105105175</v>
      </c>
      <c r="M71" s="7">
        <v>0.0186550250949156</v>
      </c>
      <c r="N71" s="7">
        <v>0.0162399523536016</v>
      </c>
      <c r="O71" s="7">
        <v>0.0170732732700135</v>
      </c>
      <c r="P71" s="7">
        <v>1.78589562946461</v>
      </c>
      <c r="Q71" s="7">
        <v>1.7728682948685</v>
      </c>
    </row>
    <row r="72">
      <c r="A72" s="6" t="s">
        <v>20</v>
      </c>
      <c r="B72" s="7">
        <f t="shared" ref="B72:Q72" si="6">MEDIAN(B64:B71)</f>
        <v>0.8358668597</v>
      </c>
      <c r="C72" s="7">
        <f t="shared" si="6"/>
        <v>0.8172865628</v>
      </c>
      <c r="D72" s="7">
        <f t="shared" si="6"/>
        <v>0.798347766</v>
      </c>
      <c r="E72" s="7">
        <f t="shared" si="6"/>
        <v>0.7304359125</v>
      </c>
      <c r="F72" s="7">
        <f t="shared" si="6"/>
        <v>0.70238538</v>
      </c>
      <c r="G72" s="7">
        <f t="shared" si="6"/>
        <v>0.6999695763</v>
      </c>
      <c r="H72" s="7">
        <f t="shared" si="6"/>
        <v>3.668911276</v>
      </c>
      <c r="I72" s="7">
        <f t="shared" si="6"/>
        <v>14.75501933</v>
      </c>
      <c r="J72" s="7">
        <f t="shared" si="6"/>
        <v>0.02595107707</v>
      </c>
      <c r="K72" s="7">
        <f t="shared" si="6"/>
        <v>0.03392213994</v>
      </c>
      <c r="L72" s="7">
        <f t="shared" si="6"/>
        <v>0.03359753539</v>
      </c>
      <c r="M72" s="7">
        <f t="shared" si="6"/>
        <v>0.0235824491</v>
      </c>
      <c r="N72" s="7">
        <f t="shared" si="6"/>
        <v>0.01919097031</v>
      </c>
      <c r="O72" s="7">
        <f t="shared" si="6"/>
        <v>0.02494825607</v>
      </c>
      <c r="P72" s="7">
        <f t="shared" si="6"/>
        <v>1.650477446</v>
      </c>
      <c r="Q72" s="7">
        <f t="shared" si="6"/>
        <v>2.27280784</v>
      </c>
    </row>
    <row r="74">
      <c r="A74" s="1" t="s">
        <v>26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>
      <c r="A75" s="3" t="s">
        <v>1</v>
      </c>
      <c r="B75" s="3"/>
      <c r="C75" s="3"/>
      <c r="D75" s="3"/>
      <c r="E75" s="3"/>
      <c r="F75" s="3"/>
      <c r="G75" s="3"/>
      <c r="H75" s="3"/>
      <c r="I75" s="3"/>
      <c r="J75" s="4" t="s">
        <v>2</v>
      </c>
    </row>
    <row r="76">
      <c r="A76" s="5" t="s">
        <v>3</v>
      </c>
      <c r="B76" s="5" t="s">
        <v>4</v>
      </c>
      <c r="C76" s="5" t="s">
        <v>5</v>
      </c>
      <c r="D76" s="5" t="s">
        <v>6</v>
      </c>
      <c r="E76" s="5" t="s">
        <v>7</v>
      </c>
      <c r="F76" s="5" t="s">
        <v>8</v>
      </c>
      <c r="G76" s="5" t="s">
        <v>9</v>
      </c>
      <c r="H76" s="5" t="s">
        <v>10</v>
      </c>
      <c r="I76" s="5" t="s">
        <v>11</v>
      </c>
      <c r="J76" s="5" t="s">
        <v>4</v>
      </c>
      <c r="K76" s="5" t="s">
        <v>5</v>
      </c>
      <c r="L76" s="5" t="s">
        <v>6</v>
      </c>
      <c r="M76" s="5" t="s">
        <v>7</v>
      </c>
      <c r="N76" s="5" t="s">
        <v>8</v>
      </c>
      <c r="O76" s="5" t="s">
        <v>9</v>
      </c>
      <c r="P76" s="5" t="s">
        <v>10</v>
      </c>
      <c r="Q76" s="5" t="s">
        <v>11</v>
      </c>
    </row>
    <row r="77">
      <c r="A77" s="6" t="s">
        <v>12</v>
      </c>
      <c r="B77" s="7">
        <v>0.766666666666666</v>
      </c>
      <c r="C77" s="7">
        <v>0.785732669257956</v>
      </c>
      <c r="D77" s="7">
        <v>0.746713671366245</v>
      </c>
      <c r="E77" s="7">
        <v>0.727532600133292</v>
      </c>
      <c r="F77" s="7">
        <v>0.602748678392894</v>
      </c>
      <c r="G77" s="7">
        <v>0.60939380742785</v>
      </c>
      <c r="H77" s="7">
        <v>20.0666666666666</v>
      </c>
      <c r="I77" s="7">
        <v>3.26666666666666</v>
      </c>
      <c r="J77" s="7">
        <v>0.0150554530541816</v>
      </c>
      <c r="K77" s="7">
        <v>0.0354899197078827</v>
      </c>
      <c r="L77" s="7">
        <v>0.0363940171403834</v>
      </c>
      <c r="M77" s="7">
        <v>0.0456895062932965</v>
      </c>
      <c r="N77" s="7">
        <v>0.0218302622403929</v>
      </c>
      <c r="O77" s="7">
        <v>0.0269391319172679</v>
      </c>
      <c r="P77" s="7">
        <v>1.92527054375915</v>
      </c>
      <c r="Q77" s="7">
        <v>1.38884444373331</v>
      </c>
    </row>
    <row r="78">
      <c r="A78" s="6" t="s">
        <v>15</v>
      </c>
      <c r="B78" s="7">
        <v>0.861333333333333</v>
      </c>
      <c r="C78" s="7">
        <v>0.906732616957294</v>
      </c>
      <c r="D78" s="7">
        <v>0.892625254382605</v>
      </c>
      <c r="E78" s="7">
        <v>0.862237507568674</v>
      </c>
      <c r="F78" s="7">
        <v>0.861347875188745</v>
      </c>
      <c r="G78" s="7">
        <v>0.861079573680191</v>
      </c>
      <c r="H78" s="7">
        <v>8.33333333333333</v>
      </c>
      <c r="I78" s="7">
        <v>5.53333333333333</v>
      </c>
      <c r="J78" s="7">
        <v>0.0182086670449968</v>
      </c>
      <c r="K78" s="7">
        <v>0.0116241723633483</v>
      </c>
      <c r="L78" s="7">
        <v>0.0203545314846964</v>
      </c>
      <c r="M78" s="7">
        <v>0.0176093574535377</v>
      </c>
      <c r="N78" s="7">
        <v>0.0185537463350555</v>
      </c>
      <c r="O78" s="7">
        <v>0.0183848000716639</v>
      </c>
      <c r="P78" s="7">
        <v>1.22927259430571</v>
      </c>
      <c r="Q78" s="7">
        <v>0.618241233033047</v>
      </c>
    </row>
    <row r="79">
      <c r="A79" s="6" t="s">
        <v>18</v>
      </c>
      <c r="B79" s="7">
        <v>0.806394930639013</v>
      </c>
      <c r="C79" s="7">
        <v>0.864410212038769</v>
      </c>
      <c r="D79" s="7">
        <v>0.826782073824829</v>
      </c>
      <c r="E79" s="7">
        <v>0.781688522180967</v>
      </c>
      <c r="F79" s="7">
        <v>0.795699599446565</v>
      </c>
      <c r="G79" s="7">
        <v>0.785364884842097</v>
      </c>
      <c r="H79" s="7">
        <v>11.5551066908811</v>
      </c>
      <c r="I79" s="7">
        <v>7.80540024521744</v>
      </c>
      <c r="J79" s="7">
        <v>0.0255910902175339</v>
      </c>
      <c r="K79" s="7">
        <v>0.0133550662236884</v>
      </c>
      <c r="L79" s="7">
        <v>0.0264292799517082</v>
      </c>
      <c r="M79" s="7">
        <v>0.0314715338588325</v>
      </c>
      <c r="N79" s="7">
        <v>0.030338811556663</v>
      </c>
      <c r="O79" s="7">
        <v>0.0302781367299314</v>
      </c>
      <c r="P79" s="7">
        <v>2.87480745889553</v>
      </c>
      <c r="Q79" s="7">
        <v>2.2122567110125</v>
      </c>
    </row>
    <row r="80">
      <c r="A80" s="6" t="s">
        <v>20</v>
      </c>
      <c r="B80" s="7">
        <f t="shared" ref="B80:Q80" si="7">MEDIAN(B77:B79)</f>
        <v>0.8063949306</v>
      </c>
      <c r="C80" s="7">
        <f t="shared" si="7"/>
        <v>0.864410212</v>
      </c>
      <c r="D80" s="7">
        <f t="shared" si="7"/>
        <v>0.8267820738</v>
      </c>
      <c r="E80" s="7">
        <f t="shared" si="7"/>
        <v>0.7816885222</v>
      </c>
      <c r="F80" s="7">
        <f t="shared" si="7"/>
        <v>0.7956995994</v>
      </c>
      <c r="G80" s="7">
        <f t="shared" si="7"/>
        <v>0.7853648848</v>
      </c>
      <c r="H80" s="7">
        <f t="shared" si="7"/>
        <v>11.55510669</v>
      </c>
      <c r="I80" s="7">
        <f t="shared" si="7"/>
        <v>5.533333333</v>
      </c>
      <c r="J80" s="7">
        <f t="shared" si="7"/>
        <v>0.01820866704</v>
      </c>
      <c r="K80" s="7">
        <f t="shared" si="7"/>
        <v>0.01335506622</v>
      </c>
      <c r="L80" s="7">
        <f t="shared" si="7"/>
        <v>0.02642927995</v>
      </c>
      <c r="M80" s="7">
        <f t="shared" si="7"/>
        <v>0.03147153386</v>
      </c>
      <c r="N80" s="7">
        <f t="shared" si="7"/>
        <v>0.02183026224</v>
      </c>
      <c r="O80" s="7">
        <f t="shared" si="7"/>
        <v>0.02693913192</v>
      </c>
      <c r="P80" s="7">
        <f t="shared" si="7"/>
        <v>1.925270544</v>
      </c>
      <c r="Q80" s="7">
        <f t="shared" si="7"/>
        <v>1.388844444</v>
      </c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>
      <c r="A82" s="3" t="s">
        <v>21</v>
      </c>
      <c r="B82" s="3"/>
      <c r="C82" s="3"/>
      <c r="D82" s="3"/>
      <c r="E82" s="3"/>
      <c r="F82" s="3"/>
      <c r="G82" s="3"/>
      <c r="H82" s="3"/>
      <c r="I82" s="3"/>
      <c r="J82" s="4" t="s">
        <v>2</v>
      </c>
    </row>
    <row r="83">
      <c r="A83" s="5" t="s">
        <v>3</v>
      </c>
      <c r="B83" s="5" t="s">
        <v>4</v>
      </c>
      <c r="C83" s="5" t="s">
        <v>5</v>
      </c>
      <c r="D83" s="5" t="s">
        <v>6</v>
      </c>
      <c r="E83" s="5" t="s">
        <v>7</v>
      </c>
      <c r="F83" s="5" t="s">
        <v>8</v>
      </c>
      <c r="G83" s="5" t="s">
        <v>9</v>
      </c>
      <c r="H83" s="5" t="s">
        <v>10</v>
      </c>
      <c r="I83" s="5" t="s">
        <v>11</v>
      </c>
      <c r="J83" s="5" t="s">
        <v>4</v>
      </c>
      <c r="K83" s="5" t="s">
        <v>5</v>
      </c>
      <c r="L83" s="5" t="s">
        <v>6</v>
      </c>
      <c r="M83" s="5" t="s">
        <v>7</v>
      </c>
      <c r="N83" s="5" t="s">
        <v>8</v>
      </c>
      <c r="O83" s="5" t="s">
        <v>9</v>
      </c>
      <c r="P83" s="5" t="s">
        <v>10</v>
      </c>
      <c r="Q83" s="5" t="s">
        <v>11</v>
      </c>
    </row>
    <row r="84">
      <c r="A84" s="6" t="s">
        <v>12</v>
      </c>
      <c r="B84" s="7">
        <v>0.921333333333333</v>
      </c>
      <c r="C84" s="7">
        <v>0.941530628040241</v>
      </c>
      <c r="D84" s="7">
        <v>0.930047365029005</v>
      </c>
      <c r="E84" s="7">
        <v>0.899054334112328</v>
      </c>
      <c r="F84" s="7">
        <v>0.901581194159162</v>
      </c>
      <c r="G84" s="7">
        <v>0.900196793574061</v>
      </c>
      <c r="H84" s="7">
        <v>3.8</v>
      </c>
      <c r="I84" s="7">
        <v>4.06666666666666</v>
      </c>
      <c r="J84" s="7">
        <v>0.0143913554299486</v>
      </c>
      <c r="K84" s="7">
        <v>0.0117256309774809</v>
      </c>
      <c r="L84" s="7">
        <v>0.0100349853714334</v>
      </c>
      <c r="M84" s="7">
        <v>0.0221320151625535</v>
      </c>
      <c r="N84" s="7">
        <v>0.0173892750835482</v>
      </c>
      <c r="O84" s="7">
        <v>0.0195970259741538</v>
      </c>
      <c r="P84" s="7">
        <v>0.541602560309064</v>
      </c>
      <c r="Q84" s="7">
        <v>1.04136662345422</v>
      </c>
    </row>
    <row r="85">
      <c r="A85" s="6" t="s">
        <v>15</v>
      </c>
      <c r="B85" s="7">
        <v>0.872666666666666</v>
      </c>
      <c r="C85" s="7">
        <v>0.949259156233995</v>
      </c>
      <c r="D85" s="7">
        <v>0.947312436984006</v>
      </c>
      <c r="E85" s="7">
        <v>0.872339397181536</v>
      </c>
      <c r="F85" s="7">
        <v>0.872297952796047</v>
      </c>
      <c r="G85" s="7">
        <v>0.871182284313492</v>
      </c>
      <c r="H85" s="7">
        <v>6.46666666666666</v>
      </c>
      <c r="I85" s="7">
        <v>6.26666666666666</v>
      </c>
      <c r="J85" s="7">
        <v>0.0097524925588852</v>
      </c>
      <c r="K85" s="7">
        <v>0.013729647656712</v>
      </c>
      <c r="L85" s="7">
        <v>0.0136390353545771</v>
      </c>
      <c r="M85" s="7">
        <v>0.00798046840054801</v>
      </c>
      <c r="N85" s="7">
        <v>0.0114282682837196</v>
      </c>
      <c r="O85" s="7">
        <v>0.00973838604732542</v>
      </c>
      <c r="P85" s="7">
        <v>1.58605030044937</v>
      </c>
      <c r="Q85" s="7">
        <v>2.08059820457696</v>
      </c>
    </row>
    <row r="86">
      <c r="A86" s="6" t="s">
        <v>18</v>
      </c>
      <c r="B86" s="7">
        <v>0.841333333333333</v>
      </c>
      <c r="C86" s="7">
        <v>0.827520113267064</v>
      </c>
      <c r="D86" s="7">
        <v>0.728909746172362</v>
      </c>
      <c r="E86" s="7">
        <v>0.693094296270844</v>
      </c>
      <c r="F86" s="7">
        <v>0.707723499418031</v>
      </c>
      <c r="G86" s="7">
        <v>0.698631484189185</v>
      </c>
      <c r="H86" s="7">
        <v>8.66666666666666</v>
      </c>
      <c r="I86" s="7">
        <v>7.2</v>
      </c>
      <c r="J86" s="7">
        <v>0.0154344492037203</v>
      </c>
      <c r="K86" s="7">
        <v>0.0148298992903613</v>
      </c>
      <c r="L86" s="7">
        <v>0.0103127905103282</v>
      </c>
      <c r="M86" s="7">
        <v>0.0136171259952309</v>
      </c>
      <c r="N86" s="7">
        <v>0.025086378883377</v>
      </c>
      <c r="O86" s="7">
        <v>0.0163644149257614</v>
      </c>
      <c r="P86" s="7">
        <v>1.59164485150844</v>
      </c>
      <c r="Q86" s="7">
        <v>1.20369800568451</v>
      </c>
    </row>
    <row r="87">
      <c r="A87" s="6" t="s">
        <v>20</v>
      </c>
      <c r="B87" s="7">
        <f t="shared" ref="B87:Q87" si="8">MEDIAN(B84:B86)</f>
        <v>0.8726666667</v>
      </c>
      <c r="C87" s="7">
        <f t="shared" si="8"/>
        <v>0.941530628</v>
      </c>
      <c r="D87" s="7">
        <f t="shared" si="8"/>
        <v>0.930047365</v>
      </c>
      <c r="E87" s="7">
        <f t="shared" si="8"/>
        <v>0.8723393972</v>
      </c>
      <c r="F87" s="7">
        <f t="shared" si="8"/>
        <v>0.8722979528</v>
      </c>
      <c r="G87" s="7">
        <f t="shared" si="8"/>
        <v>0.8711822843</v>
      </c>
      <c r="H87" s="7">
        <f t="shared" si="8"/>
        <v>6.466666667</v>
      </c>
      <c r="I87" s="7">
        <f t="shared" si="8"/>
        <v>6.266666667</v>
      </c>
      <c r="J87" s="7">
        <f t="shared" si="8"/>
        <v>0.01439135543</v>
      </c>
      <c r="K87" s="7">
        <f t="shared" si="8"/>
        <v>0.01372964766</v>
      </c>
      <c r="L87" s="7">
        <f t="shared" si="8"/>
        <v>0.01031279051</v>
      </c>
      <c r="M87" s="7">
        <f t="shared" si="8"/>
        <v>0.013617126</v>
      </c>
      <c r="N87" s="7">
        <f t="shared" si="8"/>
        <v>0.01738927508</v>
      </c>
      <c r="O87" s="7">
        <f t="shared" si="8"/>
        <v>0.01636441493</v>
      </c>
      <c r="P87" s="7">
        <f t="shared" si="8"/>
        <v>1.5860503</v>
      </c>
      <c r="Q87" s="7">
        <f t="shared" si="8"/>
        <v>1.203698006</v>
      </c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>
      <c r="A89" s="3" t="s">
        <v>22</v>
      </c>
      <c r="B89" s="3"/>
      <c r="C89" s="3"/>
      <c r="D89" s="3"/>
      <c r="E89" s="3"/>
      <c r="F89" s="3"/>
      <c r="G89" s="3"/>
      <c r="H89" s="3"/>
      <c r="I89" s="3"/>
      <c r="J89" s="4" t="s">
        <v>2</v>
      </c>
    </row>
    <row r="90">
      <c r="A90" s="5" t="s">
        <v>3</v>
      </c>
      <c r="B90" s="5" t="s">
        <v>4</v>
      </c>
      <c r="C90" s="5" t="s">
        <v>5</v>
      </c>
      <c r="D90" s="5" t="s">
        <v>6</v>
      </c>
      <c r="E90" s="5" t="s">
        <v>7</v>
      </c>
      <c r="F90" s="5" t="s">
        <v>8</v>
      </c>
      <c r="G90" s="5" t="s">
        <v>9</v>
      </c>
      <c r="H90" s="5" t="s">
        <v>10</v>
      </c>
      <c r="I90" s="5" t="s">
        <v>11</v>
      </c>
      <c r="J90" s="5" t="s">
        <v>4</v>
      </c>
      <c r="K90" s="5" t="s">
        <v>5</v>
      </c>
      <c r="L90" s="5" t="s">
        <v>6</v>
      </c>
      <c r="M90" s="5" t="s">
        <v>7</v>
      </c>
      <c r="N90" s="5" t="s">
        <v>8</v>
      </c>
      <c r="O90" s="5" t="s">
        <v>9</v>
      </c>
      <c r="P90" s="5" t="s">
        <v>10</v>
      </c>
      <c r="Q90" s="5" t="s">
        <v>11</v>
      </c>
    </row>
    <row r="91">
      <c r="A91" s="6" t="s">
        <v>12</v>
      </c>
      <c r="B91" s="7">
        <v>0.759548229548229</v>
      </c>
      <c r="C91" s="7">
        <v>0.856966155706495</v>
      </c>
      <c r="D91" s="7">
        <v>0.819605171106988</v>
      </c>
      <c r="E91" s="7">
        <v>0.743144598823886</v>
      </c>
      <c r="F91" s="7">
        <v>0.717122574211453</v>
      </c>
      <c r="G91" s="7">
        <v>0.721338639793005</v>
      </c>
      <c r="H91" s="7">
        <v>15.6964951383864</v>
      </c>
      <c r="I91" s="7">
        <v>8.34868190679061</v>
      </c>
      <c r="J91" s="7">
        <v>0.0351691840269908</v>
      </c>
      <c r="K91" s="7">
        <v>0.0236500825294245</v>
      </c>
      <c r="L91" s="7">
        <v>0.0246992115096946</v>
      </c>
      <c r="M91" s="7">
        <v>0.0204477834047944</v>
      </c>
      <c r="N91" s="7">
        <v>0.0407116323097924</v>
      </c>
      <c r="O91" s="7">
        <v>0.0384241798011371</v>
      </c>
      <c r="P91" s="7">
        <v>4.84610335042985</v>
      </c>
      <c r="Q91" s="7">
        <v>1.39826893142398</v>
      </c>
    </row>
    <row r="92">
      <c r="A92" s="6" t="s">
        <v>15</v>
      </c>
      <c r="B92" s="7">
        <v>0.816334015179917</v>
      </c>
      <c r="C92" s="7">
        <v>0.897689892599178</v>
      </c>
      <c r="D92" s="7">
        <v>0.890171089235901</v>
      </c>
      <c r="E92" s="7">
        <v>0.820856390868511</v>
      </c>
      <c r="F92" s="7">
        <v>0.822345078422291</v>
      </c>
      <c r="G92" s="7">
        <v>0.815721111961877</v>
      </c>
      <c r="H92" s="7">
        <v>5.50925312099781</v>
      </c>
      <c r="I92" s="7">
        <v>12.8573453610103</v>
      </c>
      <c r="J92" s="7">
        <v>0.0205036438310359</v>
      </c>
      <c r="K92" s="7">
        <v>0.0123964560913794</v>
      </c>
      <c r="L92" s="7">
        <v>0.0103707242236317</v>
      </c>
      <c r="M92" s="7">
        <v>0.0196408751076322</v>
      </c>
      <c r="N92" s="7">
        <v>0.0218545629660648</v>
      </c>
      <c r="O92" s="7">
        <v>0.0206427702594444</v>
      </c>
      <c r="P92" s="7">
        <v>2.3830985336811</v>
      </c>
      <c r="Q92" s="7">
        <v>2.25351922235915</v>
      </c>
    </row>
    <row r="93">
      <c r="A93" s="6" t="s">
        <v>18</v>
      </c>
      <c r="B93" s="7">
        <v>0.729041904530285</v>
      </c>
      <c r="C93" s="7">
        <v>0.760345117536536</v>
      </c>
      <c r="D93" s="7">
        <v>0.742747864630351</v>
      </c>
      <c r="E93" s="7">
        <v>0.702613114794388</v>
      </c>
      <c r="F93" s="7">
        <v>0.699951292827061</v>
      </c>
      <c r="G93" s="7">
        <v>0.701012619515337</v>
      </c>
      <c r="H93" s="7">
        <v>13.1263492255319</v>
      </c>
      <c r="I93" s="7">
        <v>13.9694603214395</v>
      </c>
      <c r="J93" s="7">
        <v>0.0159797831241203</v>
      </c>
      <c r="K93" s="7">
        <v>0.0343256821260768</v>
      </c>
      <c r="L93" s="7">
        <v>0.0291783959771279</v>
      </c>
      <c r="M93" s="7">
        <v>0.0103092288163077</v>
      </c>
      <c r="N93" s="7">
        <v>0.0104754374028544</v>
      </c>
      <c r="O93" s="7">
        <v>0.0100232724004856</v>
      </c>
      <c r="P93" s="7">
        <v>1.1829361807623</v>
      </c>
      <c r="Q93" s="7">
        <v>0.988584485438127</v>
      </c>
    </row>
    <row r="94">
      <c r="A94" s="6" t="s">
        <v>20</v>
      </c>
      <c r="B94" s="7">
        <f t="shared" ref="B94:Q94" si="9">MEDIAN(B91:B93)</f>
        <v>0.7595482295</v>
      </c>
      <c r="C94" s="7">
        <f t="shared" si="9"/>
        <v>0.8569661557</v>
      </c>
      <c r="D94" s="7">
        <f t="shared" si="9"/>
        <v>0.8196051711</v>
      </c>
      <c r="E94" s="7">
        <f t="shared" si="9"/>
        <v>0.7431445988</v>
      </c>
      <c r="F94" s="7">
        <f t="shared" si="9"/>
        <v>0.7171225742</v>
      </c>
      <c r="G94" s="7">
        <f t="shared" si="9"/>
        <v>0.7213386398</v>
      </c>
      <c r="H94" s="7">
        <f t="shared" si="9"/>
        <v>13.12634923</v>
      </c>
      <c r="I94" s="7">
        <f t="shared" si="9"/>
        <v>12.85734536</v>
      </c>
      <c r="J94" s="7">
        <f t="shared" si="9"/>
        <v>0.02050364383</v>
      </c>
      <c r="K94" s="7">
        <f t="shared" si="9"/>
        <v>0.02365008253</v>
      </c>
      <c r="L94" s="7">
        <f t="shared" si="9"/>
        <v>0.02469921151</v>
      </c>
      <c r="M94" s="7">
        <f t="shared" si="9"/>
        <v>0.01964087511</v>
      </c>
      <c r="N94" s="7">
        <f t="shared" si="9"/>
        <v>0.02185456297</v>
      </c>
      <c r="O94" s="7">
        <f t="shared" si="9"/>
        <v>0.02064277026</v>
      </c>
      <c r="P94" s="7">
        <f t="shared" si="9"/>
        <v>2.383098534</v>
      </c>
      <c r="Q94" s="7">
        <f t="shared" si="9"/>
        <v>1.398268931</v>
      </c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>
      <c r="A96" s="3" t="s">
        <v>23</v>
      </c>
      <c r="B96" s="3"/>
      <c r="C96" s="3"/>
      <c r="D96" s="3"/>
      <c r="E96" s="3"/>
      <c r="F96" s="3"/>
      <c r="G96" s="3"/>
      <c r="H96" s="3"/>
      <c r="I96" s="3"/>
      <c r="J96" s="4" t="s">
        <v>2</v>
      </c>
    </row>
    <row r="97">
      <c r="A97" s="5" t="s">
        <v>3</v>
      </c>
      <c r="B97" s="5" t="s">
        <v>4</v>
      </c>
      <c r="C97" s="5" t="s">
        <v>5</v>
      </c>
      <c r="D97" s="5" t="s">
        <v>6</v>
      </c>
      <c r="E97" s="5" t="s">
        <v>7</v>
      </c>
      <c r="F97" s="5" t="s">
        <v>8</v>
      </c>
      <c r="G97" s="5" t="s">
        <v>9</v>
      </c>
      <c r="H97" s="5" t="s">
        <v>10</v>
      </c>
      <c r="I97" s="5" t="s">
        <v>11</v>
      </c>
      <c r="J97" s="5" t="s">
        <v>4</v>
      </c>
      <c r="K97" s="5" t="s">
        <v>5</v>
      </c>
      <c r="L97" s="5" t="s">
        <v>6</v>
      </c>
      <c r="M97" s="5" t="s">
        <v>7</v>
      </c>
      <c r="N97" s="5" t="s">
        <v>8</v>
      </c>
      <c r="O97" s="5" t="s">
        <v>9</v>
      </c>
      <c r="P97" s="5" t="s">
        <v>10</v>
      </c>
      <c r="Q97" s="5" t="s">
        <v>11</v>
      </c>
    </row>
    <row r="98">
      <c r="A98" s="6" t="s">
        <v>12</v>
      </c>
      <c r="B98" s="7">
        <v>0.901333333333333</v>
      </c>
      <c r="C98" s="7">
        <v>0.937291724319896</v>
      </c>
      <c r="D98" s="7">
        <v>0.915686809562543</v>
      </c>
      <c r="E98" s="7">
        <v>0.892455693726692</v>
      </c>
      <c r="F98" s="7">
        <v>0.848862534732211</v>
      </c>
      <c r="G98" s="7">
        <v>0.866500058194235</v>
      </c>
      <c r="H98" s="7">
        <v>7.06666666666666</v>
      </c>
      <c r="I98" s="7">
        <v>2.8</v>
      </c>
      <c r="J98" s="7">
        <v>0.00339934634239517</v>
      </c>
      <c r="K98" s="7">
        <v>0.00399262489457319</v>
      </c>
      <c r="L98" s="7">
        <v>0.00925477403837902</v>
      </c>
      <c r="M98" s="7">
        <v>0.0189380007078557</v>
      </c>
      <c r="N98" s="7">
        <v>0.0100935309759432</v>
      </c>
      <c r="O98" s="7">
        <v>0.00933745743652162</v>
      </c>
      <c r="P98" s="7">
        <v>0.853749898324379</v>
      </c>
      <c r="Q98" s="7">
        <v>1.06666666666666</v>
      </c>
    </row>
    <row r="99">
      <c r="A99" s="6" t="s">
        <v>15</v>
      </c>
      <c r="B99" s="7">
        <v>0.901333333333333</v>
      </c>
      <c r="C99" s="7">
        <v>0.950688217469243</v>
      </c>
      <c r="D99" s="7">
        <v>0.944279188990146</v>
      </c>
      <c r="E99" s="7">
        <v>0.901893713443941</v>
      </c>
      <c r="F99" s="7">
        <v>0.901435563640503</v>
      </c>
      <c r="G99" s="7">
        <v>0.90120838701312</v>
      </c>
      <c r="H99" s="7">
        <v>5.8</v>
      </c>
      <c r="I99" s="7">
        <v>4.06666666666666</v>
      </c>
      <c r="J99" s="7">
        <v>0.0134329611197398</v>
      </c>
      <c r="K99" s="7">
        <v>0.0150484311308959</v>
      </c>
      <c r="L99" s="7">
        <v>0.0198907308248169</v>
      </c>
      <c r="M99" s="7">
        <v>0.013200536215953</v>
      </c>
      <c r="N99" s="7">
        <v>0.0128025292691356</v>
      </c>
      <c r="O99" s="7">
        <v>0.0134240895241797</v>
      </c>
      <c r="P99" s="7">
        <v>1.32664991614215</v>
      </c>
      <c r="Q99" s="7">
        <v>0.442216638714053</v>
      </c>
    </row>
    <row r="100">
      <c r="A100" s="6" t="s">
        <v>18</v>
      </c>
      <c r="B100" s="7">
        <v>0.89215156047305</v>
      </c>
      <c r="C100" s="7">
        <v>0.943147097840565</v>
      </c>
      <c r="D100" s="7">
        <v>0.932168038184699</v>
      </c>
      <c r="E100" s="7">
        <v>0.875440358247228</v>
      </c>
      <c r="F100" s="7">
        <v>0.884358875777292</v>
      </c>
      <c r="G100" s="7">
        <v>0.879101558116647</v>
      </c>
      <c r="H100" s="7">
        <v>6.2521062915687</v>
      </c>
      <c r="I100" s="7">
        <v>4.53273766112623</v>
      </c>
      <c r="J100" s="7">
        <v>0.0193937770673117</v>
      </c>
      <c r="K100" s="7">
        <v>0.0217474076981302</v>
      </c>
      <c r="L100" s="7">
        <v>0.0185614560158193</v>
      </c>
      <c r="M100" s="7">
        <v>0.0183473823362622</v>
      </c>
      <c r="N100" s="7">
        <v>0.0207697173182734</v>
      </c>
      <c r="O100" s="7">
        <v>0.0187334757343668</v>
      </c>
      <c r="P100" s="7">
        <v>1.39941439184904</v>
      </c>
      <c r="Q100" s="7">
        <v>1.36365509838609</v>
      </c>
    </row>
    <row r="101">
      <c r="A101" s="6" t="s">
        <v>20</v>
      </c>
      <c r="B101" s="7">
        <f t="shared" ref="B101:Q101" si="10">MEDIAN(B98:B100)</f>
        <v>0.9013333333</v>
      </c>
      <c r="C101" s="7">
        <f t="shared" si="10"/>
        <v>0.9431470978</v>
      </c>
      <c r="D101" s="7">
        <f t="shared" si="10"/>
        <v>0.9321680382</v>
      </c>
      <c r="E101" s="7">
        <f t="shared" si="10"/>
        <v>0.8924556937</v>
      </c>
      <c r="F101" s="7">
        <f t="shared" si="10"/>
        <v>0.8843588758</v>
      </c>
      <c r="G101" s="7">
        <f t="shared" si="10"/>
        <v>0.8791015581</v>
      </c>
      <c r="H101" s="7">
        <f t="shared" si="10"/>
        <v>6.252106292</v>
      </c>
      <c r="I101" s="7">
        <f t="shared" si="10"/>
        <v>4.066666667</v>
      </c>
      <c r="J101" s="7">
        <f t="shared" si="10"/>
        <v>0.01343296112</v>
      </c>
      <c r="K101" s="7">
        <f t="shared" si="10"/>
        <v>0.01504843113</v>
      </c>
      <c r="L101" s="7">
        <f t="shared" si="10"/>
        <v>0.01856145602</v>
      </c>
      <c r="M101" s="7">
        <f t="shared" si="10"/>
        <v>0.01834738234</v>
      </c>
      <c r="N101" s="7">
        <f t="shared" si="10"/>
        <v>0.01280252927</v>
      </c>
      <c r="O101" s="7">
        <f t="shared" si="10"/>
        <v>0.01342408952</v>
      </c>
      <c r="P101" s="7">
        <f t="shared" si="10"/>
        <v>1.326649916</v>
      </c>
      <c r="Q101" s="7">
        <f t="shared" si="10"/>
        <v>1.066666667</v>
      </c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</row>
    <row r="103">
      <c r="A103" s="3" t="s">
        <v>24</v>
      </c>
      <c r="B103" s="3"/>
      <c r="C103" s="3"/>
      <c r="D103" s="3"/>
      <c r="E103" s="3"/>
      <c r="F103" s="3"/>
      <c r="G103" s="3"/>
      <c r="H103" s="3"/>
      <c r="I103" s="3"/>
      <c r="J103" s="4" t="s">
        <v>2</v>
      </c>
    </row>
    <row r="104">
      <c r="A104" s="5" t="s">
        <v>3</v>
      </c>
      <c r="B104" s="5" t="s">
        <v>4</v>
      </c>
      <c r="C104" s="5" t="s">
        <v>5</v>
      </c>
      <c r="D104" s="5" t="s">
        <v>6</v>
      </c>
      <c r="E104" s="5" t="s">
        <v>7</v>
      </c>
      <c r="F104" s="5" t="s">
        <v>8</v>
      </c>
      <c r="G104" s="5" t="s">
        <v>9</v>
      </c>
      <c r="H104" s="5" t="s">
        <v>10</v>
      </c>
      <c r="I104" s="5" t="s">
        <v>11</v>
      </c>
      <c r="J104" s="5" t="s">
        <v>4</v>
      </c>
      <c r="K104" s="5" t="s">
        <v>5</v>
      </c>
      <c r="L104" s="5" t="s">
        <v>6</v>
      </c>
      <c r="M104" s="5" t="s">
        <v>7</v>
      </c>
      <c r="N104" s="5" t="s">
        <v>8</v>
      </c>
      <c r="O104" s="5" t="s">
        <v>9</v>
      </c>
      <c r="P104" s="5" t="s">
        <v>10</v>
      </c>
      <c r="Q104" s="5" t="s">
        <v>11</v>
      </c>
    </row>
    <row r="105">
      <c r="A105" s="6" t="s">
        <v>12</v>
      </c>
      <c r="B105" s="7">
        <v>0.910666666666666</v>
      </c>
      <c r="C105" s="7">
        <v>0.941257213407953</v>
      </c>
      <c r="D105" s="7">
        <v>0.929664981305287</v>
      </c>
      <c r="E105" s="7">
        <v>0.916044491109081</v>
      </c>
      <c r="F105" s="7">
        <v>0.853659901735811</v>
      </c>
      <c r="G105" s="7">
        <v>0.877960563276641</v>
      </c>
      <c r="H105" s="7">
        <v>7.33333333333333</v>
      </c>
      <c r="I105" s="7">
        <v>1.6</v>
      </c>
      <c r="J105" s="7">
        <v>0.0140475383371369</v>
      </c>
      <c r="K105" s="7">
        <v>0.0135608955913597</v>
      </c>
      <c r="L105" s="7">
        <v>0.0162473297523504</v>
      </c>
      <c r="M105" s="7">
        <v>0.0125166035251536</v>
      </c>
      <c r="N105" s="7">
        <v>0.0219496652245301</v>
      </c>
      <c r="O105" s="7">
        <v>0.0185097954655103</v>
      </c>
      <c r="P105" s="7">
        <v>1.33333333333333</v>
      </c>
      <c r="Q105" s="7">
        <v>0.388730126323019</v>
      </c>
    </row>
    <row r="106">
      <c r="A106" s="6" t="s">
        <v>15</v>
      </c>
      <c r="B106" s="7">
        <v>0.880666666666666</v>
      </c>
      <c r="C106" s="7">
        <v>0.940905806203966</v>
      </c>
      <c r="D106" s="7">
        <v>0.927191013129451</v>
      </c>
      <c r="E106" s="7">
        <v>0.879672069234217</v>
      </c>
      <c r="F106" s="7">
        <v>0.880040752731456</v>
      </c>
      <c r="G106" s="7">
        <v>0.879429057638597</v>
      </c>
      <c r="H106" s="7">
        <v>6.46666666666666</v>
      </c>
      <c r="I106" s="7">
        <v>5.46666666666666</v>
      </c>
      <c r="J106" s="7">
        <v>0.0271129325435503</v>
      </c>
      <c r="K106" s="7">
        <v>0.00897615720174993</v>
      </c>
      <c r="L106" s="7">
        <v>0.00744563410640037</v>
      </c>
      <c r="M106" s="7">
        <v>0.0269965219247948</v>
      </c>
      <c r="N106" s="7">
        <v>0.0264200182589419</v>
      </c>
      <c r="O106" s="7">
        <v>0.0267035842121742</v>
      </c>
      <c r="P106" s="7">
        <v>1.89267594221045</v>
      </c>
      <c r="Q106" s="7">
        <v>1.40791413879619</v>
      </c>
    </row>
    <row r="107">
      <c r="A107" s="6" t="s">
        <v>18</v>
      </c>
      <c r="B107" s="7">
        <v>0.845333333333333</v>
      </c>
      <c r="C107" s="7">
        <v>0.789705248352475</v>
      </c>
      <c r="D107" s="7">
        <v>0.700778201626608</v>
      </c>
      <c r="E107" s="7">
        <v>0.701383459675453</v>
      </c>
      <c r="F107" s="7">
        <v>0.704504871022376</v>
      </c>
      <c r="G107" s="7">
        <v>0.702122459166111</v>
      </c>
      <c r="H107" s="7">
        <v>8.06666666666666</v>
      </c>
      <c r="I107" s="7">
        <v>7.4</v>
      </c>
      <c r="J107" s="7">
        <v>0.0281740621454872</v>
      </c>
      <c r="K107" s="7">
        <v>0.0401354795032159</v>
      </c>
      <c r="L107" s="7">
        <v>0.0503465865305742</v>
      </c>
      <c r="M107" s="7">
        <v>0.0413340374954544</v>
      </c>
      <c r="N107" s="7">
        <v>0.0305145346377517</v>
      </c>
      <c r="O107" s="7">
        <v>0.0359861513237353</v>
      </c>
      <c r="P107" s="7">
        <v>2.19494368442057</v>
      </c>
      <c r="Q107" s="7">
        <v>0.879393730551528</v>
      </c>
    </row>
    <row r="108">
      <c r="A108" s="6" t="s">
        <v>20</v>
      </c>
      <c r="B108" s="7">
        <f>MEDIAN(B87:B107)</f>
        <v>0.8766666667</v>
      </c>
      <c r="C108" s="7">
        <f t="shared" ref="C108:I108" si="11">MEDIAN(C1:C107)</f>
        <v>0.8976898926</v>
      </c>
      <c r="D108" s="7">
        <f t="shared" si="11"/>
        <v>0.855507413</v>
      </c>
      <c r="E108" s="7">
        <f t="shared" si="11"/>
        <v>0.8208563909</v>
      </c>
      <c r="F108" s="7">
        <f t="shared" si="11"/>
        <v>0.8086437318</v>
      </c>
      <c r="G108" s="7">
        <f t="shared" si="11"/>
        <v>0.7853648848</v>
      </c>
      <c r="H108" s="7">
        <f t="shared" si="11"/>
        <v>6.466666667</v>
      </c>
      <c r="I108" s="7">
        <f t="shared" si="11"/>
        <v>5.533333333</v>
      </c>
      <c r="J108" s="7">
        <f t="shared" ref="J108:Q108" si="12">MEDIAN(J105:J107)</f>
        <v>0.02711293254</v>
      </c>
      <c r="K108" s="7">
        <f t="shared" si="12"/>
        <v>0.01356089559</v>
      </c>
      <c r="L108" s="7">
        <f t="shared" si="12"/>
        <v>0.01624732975</v>
      </c>
      <c r="M108" s="7">
        <f t="shared" si="12"/>
        <v>0.02699652192</v>
      </c>
      <c r="N108" s="7">
        <f t="shared" si="12"/>
        <v>0.02642001826</v>
      </c>
      <c r="O108" s="7">
        <f t="shared" si="12"/>
        <v>0.02670358421</v>
      </c>
      <c r="P108" s="7">
        <f t="shared" si="12"/>
        <v>1.892675942</v>
      </c>
      <c r="Q108" s="7">
        <f t="shared" si="12"/>
        <v>0.8793937306</v>
      </c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>
      <c r="A110" s="3" t="s">
        <v>25</v>
      </c>
      <c r="B110" s="3"/>
      <c r="C110" s="3"/>
      <c r="D110" s="3"/>
      <c r="E110" s="3"/>
      <c r="F110" s="3"/>
      <c r="G110" s="3"/>
      <c r="H110" s="3"/>
      <c r="I110" s="3"/>
      <c r="J110" s="4" t="s">
        <v>2</v>
      </c>
    </row>
    <row r="111">
      <c r="A111" s="5" t="s">
        <v>3</v>
      </c>
      <c r="B111" s="5" t="s">
        <v>4</v>
      </c>
      <c r="C111" s="5" t="s">
        <v>5</v>
      </c>
      <c r="D111" s="5" t="s">
        <v>6</v>
      </c>
      <c r="E111" s="5" t="s">
        <v>7</v>
      </c>
      <c r="F111" s="5" t="s">
        <v>8</v>
      </c>
      <c r="G111" s="5" t="s">
        <v>9</v>
      </c>
      <c r="H111" s="5" t="s">
        <v>10</v>
      </c>
      <c r="I111" s="5" t="s">
        <v>11</v>
      </c>
      <c r="J111" s="5" t="s">
        <v>4</v>
      </c>
      <c r="K111" s="5" t="s">
        <v>5</v>
      </c>
      <c r="L111" s="5" t="s">
        <v>6</v>
      </c>
      <c r="M111" s="5" t="s">
        <v>7</v>
      </c>
      <c r="N111" s="5" t="s">
        <v>8</v>
      </c>
      <c r="O111" s="5" t="s">
        <v>9</v>
      </c>
      <c r="P111" s="5" t="s">
        <v>10</v>
      </c>
      <c r="Q111" s="5" t="s">
        <v>11</v>
      </c>
    </row>
    <row r="112">
      <c r="A112" s="6" t="s">
        <v>12</v>
      </c>
      <c r="B112" s="7">
        <v>0.831243656917541</v>
      </c>
      <c r="C112" s="7">
        <v>0.922218720408446</v>
      </c>
      <c r="D112" s="7">
        <v>0.898212433335652</v>
      </c>
      <c r="E112" s="7">
        <v>0.827899283607793</v>
      </c>
      <c r="F112" s="7">
        <v>0.797880149274678</v>
      </c>
      <c r="G112" s="7">
        <v>0.805993563837478</v>
      </c>
      <c r="H112" s="7">
        <v>11.5212218429187</v>
      </c>
      <c r="I112" s="7">
        <v>5.35441246532718</v>
      </c>
      <c r="J112" s="7">
        <v>0.0330747498446074</v>
      </c>
      <c r="K112" s="7">
        <v>0.0225185236409409</v>
      </c>
      <c r="L112" s="7">
        <v>0.0234525262687167</v>
      </c>
      <c r="M112" s="7">
        <v>0.0235618187638136</v>
      </c>
      <c r="N112" s="7">
        <v>0.0414849004032069</v>
      </c>
      <c r="O112" s="7">
        <v>0.0368416424436138</v>
      </c>
      <c r="P112" s="7">
        <v>3.89819128590005</v>
      </c>
      <c r="Q112" s="7">
        <v>1.28921685314109</v>
      </c>
    </row>
    <row r="113">
      <c r="A113" s="6" t="s">
        <v>15</v>
      </c>
      <c r="B113" s="7">
        <v>0.883414793078427</v>
      </c>
      <c r="C113" s="7">
        <v>0.944963261482774</v>
      </c>
      <c r="D113" s="7">
        <v>0.940940809029476</v>
      </c>
      <c r="E113" s="7">
        <v>0.884696883008904</v>
      </c>
      <c r="F113" s="7">
        <v>0.883929710144533</v>
      </c>
      <c r="G113" s="7">
        <v>0.882203394613923</v>
      </c>
      <c r="H113" s="7">
        <v>4.75080254499199</v>
      </c>
      <c r="I113" s="7">
        <v>6.90771814716529</v>
      </c>
      <c r="J113" s="7">
        <v>0.0263974008406282</v>
      </c>
      <c r="K113" s="7">
        <v>0.0120166868525861</v>
      </c>
      <c r="L113" s="7">
        <v>0.0129490458327227</v>
      </c>
      <c r="M113" s="7">
        <v>0.0215432721306311</v>
      </c>
      <c r="N113" s="7">
        <v>0.0238775843602238</v>
      </c>
      <c r="O113" s="7">
        <v>0.0260149510694501</v>
      </c>
      <c r="P113" s="7">
        <v>1.51505926204797</v>
      </c>
      <c r="Q113" s="7">
        <v>3.34860992227011</v>
      </c>
    </row>
    <row r="114">
      <c r="A114" s="6" t="s">
        <v>18</v>
      </c>
      <c r="B114" s="7">
        <v>0.706410584212106</v>
      </c>
      <c r="C114" s="7">
        <v>0.758368946896793</v>
      </c>
      <c r="D114" s="7">
        <v>0.734612224781508</v>
      </c>
      <c r="E114" s="7">
        <v>0.677308019906384</v>
      </c>
      <c r="F114" s="7">
        <v>0.663557527569971</v>
      </c>
      <c r="G114" s="7">
        <v>0.666899018264724</v>
      </c>
      <c r="H114" s="7">
        <v>12.5902604154572</v>
      </c>
      <c r="I114" s="7">
        <v>16.7686811633321</v>
      </c>
      <c r="J114" s="7">
        <v>0.0255047533043159</v>
      </c>
      <c r="K114" s="7">
        <v>0.0364201627673705</v>
      </c>
      <c r="L114" s="7">
        <v>0.0319107969096358</v>
      </c>
      <c r="M114" s="7">
        <v>0.0236030794284973</v>
      </c>
      <c r="N114" s="7">
        <v>0.0221419882575688</v>
      </c>
      <c r="O114" s="7">
        <v>0.0219503243440207</v>
      </c>
      <c r="P114" s="7">
        <v>2.79843887601212</v>
      </c>
      <c r="Q114" s="7">
        <v>2.15680132909215</v>
      </c>
    </row>
    <row r="115">
      <c r="A115" s="6" t="s">
        <v>20</v>
      </c>
      <c r="B115" s="7">
        <f t="shared" ref="B115:Q115" si="13">MEDIAN(B112:B114)</f>
        <v>0.8312436569</v>
      </c>
      <c r="C115" s="7">
        <f t="shared" si="13"/>
        <v>0.9222187204</v>
      </c>
      <c r="D115" s="7">
        <f t="shared" si="13"/>
        <v>0.8982124333</v>
      </c>
      <c r="E115" s="7">
        <f t="shared" si="13"/>
        <v>0.8278992836</v>
      </c>
      <c r="F115" s="7">
        <f t="shared" si="13"/>
        <v>0.7978801493</v>
      </c>
      <c r="G115" s="7">
        <f t="shared" si="13"/>
        <v>0.8059935638</v>
      </c>
      <c r="H115" s="7">
        <f t="shared" si="13"/>
        <v>11.52122184</v>
      </c>
      <c r="I115" s="7">
        <f t="shared" si="13"/>
        <v>6.907718147</v>
      </c>
      <c r="J115" s="7">
        <f t="shared" si="13"/>
        <v>0.02639740084</v>
      </c>
      <c r="K115" s="7">
        <f t="shared" si="13"/>
        <v>0.02251852364</v>
      </c>
      <c r="L115" s="7">
        <f t="shared" si="13"/>
        <v>0.02345252627</v>
      </c>
      <c r="M115" s="7">
        <f t="shared" si="13"/>
        <v>0.02356181876</v>
      </c>
      <c r="N115" s="7">
        <f t="shared" si="13"/>
        <v>0.02387758436</v>
      </c>
      <c r="O115" s="7">
        <f t="shared" si="13"/>
        <v>0.02601495107</v>
      </c>
      <c r="P115" s="7">
        <f t="shared" si="13"/>
        <v>2.798438876</v>
      </c>
      <c r="Q115" s="7">
        <f t="shared" si="13"/>
        <v>2.156801329</v>
      </c>
    </row>
  </sheetData>
  <mergeCells count="12">
    <mergeCell ref="J82:Q82"/>
    <mergeCell ref="J89:Q89"/>
    <mergeCell ref="J96:Q96"/>
    <mergeCell ref="J103:Q103"/>
    <mergeCell ref="J110:Q110"/>
    <mergeCell ref="J2:Q2"/>
    <mergeCell ref="J14:Q14"/>
    <mergeCell ref="J26:Q26"/>
    <mergeCell ref="J38:Q38"/>
    <mergeCell ref="J50:Q50"/>
    <mergeCell ref="J62:Q62"/>
    <mergeCell ref="J75:Q75"/>
  </mergeCells>
  <drawing r:id="rId1"/>
</worksheet>
</file>