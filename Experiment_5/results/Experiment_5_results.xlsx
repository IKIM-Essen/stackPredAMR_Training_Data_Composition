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P_NA_Conclusio_CV" sheetId="1" r:id="rId5"/>
  </sheets>
  <definedNames/>
  <calcPr/>
</workbook>
</file>

<file path=xl/sharedStrings.xml><?xml version="1.0" encoding="utf-8"?>
<sst xmlns="http://schemas.openxmlformats.org/spreadsheetml/2006/main" count="996" uniqueCount="95">
  <si>
    <t>phoenixTrain VITEKTest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</si>
  <si>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</si>
  <si>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</si>
  <si>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</si>
  <si>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</si>
  <si>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</si>
  <si>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</si>
  <si>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</si>
  <si>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</si>
  <si>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</si>
  <si>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Test_Count_S</t>
  </si>
  <si>
    <t>Test_Count_R</t>
  </si>
  <si>
    <t>Test_Count_Comb</t>
  </si>
  <si>
    <t>Train_Count_S</t>
  </si>
  <si>
    <t>Train_Count_R</t>
  </si>
  <si>
    <t>Train_Count_Comb</t>
  </si>
  <si>
    <t>Amikacin_AB</t>
  </si>
  <si>
    <t>Ampicillin-sulbactam_AB</t>
  </si>
  <si>
    <t>Aztreonam_AB</t>
  </si>
  <si>
    <t>Cefazolin_AB</t>
  </si>
  <si>
    <t>Cefepime_AB</t>
  </si>
  <si>
    <t>Ceftazidime_AB</t>
  </si>
  <si>
    <t>Ceftriaxone_AB</t>
  </si>
  <si>
    <t>Cefuroxime_AB</t>
  </si>
  <si>
    <t>Ciprofloxacin_AB</t>
  </si>
  <si>
    <t>Gentamicin_AB</t>
  </si>
  <si>
    <t>Imipenem_AB</t>
  </si>
  <si>
    <t>Levofloxacin_AB</t>
  </si>
  <si>
    <t>Piperacillin-tazobactam_AB</t>
  </si>
  <si>
    <t>Tobramycin_AB</t>
  </si>
  <si>
    <t>Trimethoprim-sulfamethoxazole_AB</t>
  </si>
  <si>
    <t>Median</t>
  </si>
  <si>
    <t>phoenixTrain phoenixTest</t>
  </si>
  <si>
    <t>phoenixTrain naTest</t>
  </si>
  <si>
    <t>mixTrain VITEKTest</t>
  </si>
  <si>
    <t>Amoxicillin-clavulanic acid_AB</t>
  </si>
  <si>
    <t>Ampicillin_AB</t>
  </si>
  <si>
    <t>Cefotaxime_AB</t>
  </si>
  <si>
    <t>Cefpodoxime_AB</t>
  </si>
  <si>
    <t>Ceftazidime-avibactam_AB</t>
  </si>
  <si>
    <t>Ceftolozane-tazobactam_AB</t>
  </si>
  <si>
    <t>Colistin_AB</t>
  </si>
  <si>
    <t>Doripenem_AB</t>
  </si>
  <si>
    <t>Ertapenem_AB</t>
  </si>
  <si>
    <t>Meropenem_AB</t>
  </si>
  <si>
    <t>Piperacillin_AB</t>
  </si>
  <si>
    <t>Tigecycline_AB</t>
  </si>
  <si>
    <t>Trimethoprim_AB</t>
  </si>
  <si>
    <t>mixTrain phoenixTest</t>
  </si>
  <si>
    <t>mixTrain naTest</t>
  </si>
  <si>
    <t>Restrictions: Min 150 Training (S/R) and Min 900 Training overall and min 20 Test (S/R)</t>
  </si>
  <si>
    <t>phoenixTrain</t>
  </si>
  <si>
    <t>Average</t>
  </si>
  <si>
    <t>mixTrain</t>
  </si>
  <si>
    <t xml:space="preserve">mixTrain - phoenixTrain VITEKTest </t>
  </si>
  <si>
    <t>Accuracy Median</t>
  </si>
  <si>
    <t>Phoenix Test</t>
  </si>
  <si>
    <t>VITEK Test</t>
  </si>
  <si>
    <t>NA Test</t>
  </si>
  <si>
    <t>Metric</t>
  </si>
  <si>
    <t>Train set</t>
  </si>
  <si>
    <t>Phoenix Train</t>
  </si>
  <si>
    <t>Mix Train</t>
  </si>
  <si>
    <t>ROC</t>
  </si>
  <si>
    <t>F1</t>
  </si>
  <si>
    <t>mixTrain - phoenixTrain phoenixTest</t>
  </si>
  <si>
    <t>ROC Median</t>
  </si>
  <si>
    <t>Std</t>
  </si>
  <si>
    <t>F1 Score Median</t>
  </si>
  <si>
    <t>mixTrain -phoenixTrain naTest</t>
  </si>
  <si>
    <t>Overall</t>
  </si>
  <si>
    <t xml:space="preserve">Median phoenixTrain </t>
  </si>
  <si>
    <t>Median mixTrain</t>
  </si>
  <si>
    <t>F1 Mean</t>
  </si>
  <si>
    <t>Amikacin</t>
  </si>
  <si>
    <t>Gentamicin</t>
  </si>
  <si>
    <t>Tobramycin</t>
  </si>
  <si>
    <t>Restrictions: Min 100 Training (S/R) and Min 450 Training overall and min 20 Test (S/R)</t>
  </si>
  <si>
    <t>Cefepime</t>
  </si>
  <si>
    <t>Ciprofloxacin</t>
  </si>
  <si>
    <t>Imipenem</t>
  </si>
  <si>
    <t>Levofloxacin</t>
  </si>
  <si>
    <t>Piperacillin-Tazobactam</t>
  </si>
  <si>
    <t>F1 Median</t>
  </si>
  <si>
    <t>One-sided Wilcoxon signed-rank test</t>
  </si>
  <si>
    <t>ROC AUC</t>
  </si>
  <si>
    <t>F1-Score</t>
  </si>
  <si>
    <t>p-value</t>
  </si>
  <si>
    <t>Antibiotic</t>
  </si>
  <si>
    <t>S</t>
  </si>
  <si>
    <t>R</t>
  </si>
  <si>
    <t>Total</t>
  </si>
  <si>
    <t>VITEK</t>
  </si>
  <si>
    <t>Phoenix</t>
  </si>
  <si>
    <t>Unclassified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</si>
</sst>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rgb="FFFFFFFF"/>
      <name val="Arial"/>
      <scheme val="minor"/>
    </font>
    <font>
      <b/>
      <color theme="1"/>
      <name val="Helvetica Neue"/>
    </font>
    <font>
      <color theme="1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57BB8A"/>
        <bgColor rgb="FF57BB8A"/>
      </patternFill>
    </fill>
    <fill>
      <patternFill patternType="solid">
        <fgColor rgb="FFD4D4D4"/>
        <bgColor rgb="FFD4D4D4"/>
      </patternFill>
    </fill>
    <fill>
      <patternFill patternType="solid">
        <fgColor rgb="FF0000FF"/>
        <bgColor rgb="FF0000FF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B7E1CD"/>
        <bgColor rgb="FFB7E1CD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vertical="top"/>
    </xf>
    <xf borderId="0" fillId="3" fontId="1" numFmtId="0" xfId="0" applyAlignment="1" applyFill="1" applyFont="1">
      <alignment vertical="bottom"/>
    </xf>
    <xf borderId="1" fillId="4" fontId="3" numFmtId="0" xfId="0" applyAlignment="1" applyBorder="1" applyFill="1" applyFont="1">
      <alignment readingOrder="0" vertical="top"/>
    </xf>
    <xf borderId="1" fillId="0" fontId="4" numFmtId="2" xfId="0" applyAlignment="1" applyBorder="1" applyFont="1" applyNumberFormat="1">
      <alignment horizontal="center" readingOrder="0" vertical="top"/>
    </xf>
    <xf borderId="1" fillId="0" fontId="4" numFmtId="164" xfId="0" applyAlignment="1" applyBorder="1" applyFont="1" applyNumberFormat="1">
      <alignment horizontal="center" readingOrder="0" vertical="top"/>
    </xf>
    <xf borderId="1" fillId="0" fontId="4" numFmtId="1" xfId="0" applyAlignment="1" applyBorder="1" applyFont="1" applyNumberFormat="1">
      <alignment horizontal="center" readingOrder="0" vertical="top"/>
    </xf>
    <xf borderId="1" fillId="0" fontId="2" numFmtId="2" xfId="0" applyAlignment="1" applyBorder="1" applyFont="1" applyNumberFormat="1">
      <alignment horizontal="center" vertical="top"/>
    </xf>
    <xf borderId="0" fillId="5" fontId="2" numFmtId="0" xfId="0" applyFill="1" applyFont="1"/>
    <xf borderId="0" fillId="5" fontId="5" numFmtId="0" xfId="0" applyAlignment="1" applyFont="1">
      <alignment readingOrder="0"/>
    </xf>
    <xf borderId="0" fillId="5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4" fontId="6" numFmtId="0" xfId="0" applyAlignment="1" applyBorder="1" applyFont="1">
      <alignment vertical="top"/>
    </xf>
    <xf borderId="1" fillId="0" fontId="7" numFmtId="2" xfId="0" applyAlignment="1" applyBorder="1" applyFont="1" applyNumberFormat="1">
      <alignment horizontal="center" vertical="top"/>
    </xf>
    <xf borderId="1" fillId="0" fontId="7" numFmtId="164" xfId="0" applyAlignment="1" applyBorder="1" applyFont="1" applyNumberFormat="1">
      <alignment horizontal="center" vertical="top"/>
    </xf>
    <xf borderId="1" fillId="0" fontId="7" numFmtId="1" xfId="0" applyAlignment="1" applyBorder="1" applyFont="1" applyNumberFormat="1">
      <alignment horizontal="center" vertical="top"/>
    </xf>
    <xf borderId="1" fillId="6" fontId="7" numFmtId="2" xfId="0" applyAlignment="1" applyBorder="1" applyFill="1" applyFont="1" applyNumberFormat="1">
      <alignment horizontal="center" vertical="top"/>
    </xf>
    <xf borderId="0" fillId="0" fontId="2" numFmtId="2" xfId="0" applyFont="1" applyNumberFormat="1"/>
    <xf borderId="1" fillId="2" fontId="6" numFmtId="0" xfId="0" applyAlignment="1" applyBorder="1" applyFont="1">
      <alignment vertical="top"/>
    </xf>
    <xf borderId="0" fillId="0" fontId="1" numFmtId="2" xfId="0" applyAlignment="1" applyFont="1" applyNumberFormat="1">
      <alignment vertical="bottom"/>
    </xf>
    <xf borderId="1" fillId="7" fontId="7" numFmtId="2" xfId="0" applyAlignment="1" applyBorder="1" applyFill="1" applyFont="1" applyNumberFormat="1">
      <alignment horizontal="center" vertical="top"/>
    </xf>
    <xf borderId="1" fillId="8" fontId="7" numFmtId="164" xfId="0" applyAlignment="1" applyBorder="1" applyFill="1" applyFont="1" applyNumberFormat="1">
      <alignment horizontal="center" vertical="top"/>
    </xf>
    <xf borderId="0" fillId="0" fontId="2" numFmtId="1" xfId="0" applyFont="1" applyNumberFormat="1"/>
    <xf borderId="0" fillId="0" fontId="2" numFmtId="164" xfId="0" applyFont="1" applyNumberFormat="1"/>
    <xf borderId="1" fillId="2" fontId="6" numFmtId="0" xfId="0" applyAlignment="1" applyBorder="1" applyFont="1">
      <alignment readingOrder="0" vertical="top"/>
    </xf>
    <xf borderId="1" fillId="4" fontId="6" numFmtId="0" xfId="0" applyAlignment="1" applyBorder="1" applyFont="1">
      <alignment horizontal="center" readingOrder="0" vertical="top"/>
    </xf>
    <xf borderId="1" fillId="4" fontId="6" numFmtId="0" xfId="0" applyAlignment="1" applyBorder="1" applyFont="1">
      <alignment horizontal="center" vertical="top"/>
    </xf>
    <xf borderId="0" fillId="0" fontId="7" numFmtId="2" xfId="0" applyAlignment="1" applyFont="1" applyNumberFormat="1">
      <alignment horizontal="center" vertical="top"/>
    </xf>
    <xf borderId="1" fillId="9" fontId="7" numFmtId="1" xfId="0" applyAlignment="1" applyBorder="1" applyFill="1" applyFont="1" applyNumberFormat="1">
      <alignment horizontal="center" vertical="top"/>
    </xf>
    <xf borderId="0" fillId="4" fontId="6" numFmtId="0" xfId="0" applyAlignment="1" applyFont="1">
      <alignment vertical="top"/>
    </xf>
    <xf borderId="0" fillId="0" fontId="1" numFmtId="0" xfId="0" applyAlignment="1" applyFont="1">
      <alignment vertical="bottom"/>
    </xf>
    <xf borderId="1" fillId="4" fontId="6" numFmtId="0" xfId="0" applyAlignment="1" applyBorder="1" applyFont="1">
      <alignment vertical="top"/>
    </xf>
    <xf borderId="0" fillId="3" fontId="1" numFmtId="2" xfId="0" applyAlignment="1" applyFont="1" applyNumberFormat="1">
      <alignment vertical="bottom"/>
    </xf>
    <xf borderId="1" fillId="4" fontId="6" numFmtId="0" xfId="0" applyAlignment="1" applyBorder="1" applyFont="1">
      <alignment readingOrder="0" vertical="top"/>
    </xf>
    <xf borderId="0" fillId="2" fontId="6" numFmtId="0" xfId="0" applyAlignment="1" applyFont="1">
      <alignment horizontal="center" readingOrder="0" vertical="top"/>
    </xf>
    <xf borderId="1" fillId="2" fontId="6" numFmtId="0" xfId="0" applyAlignment="1" applyBorder="1" applyFont="1">
      <alignment horizontal="center" readingOrder="0" vertical="top"/>
    </xf>
    <xf borderId="1" fillId="10" fontId="7" numFmtId="2" xfId="0" applyAlignment="1" applyBorder="1" applyFill="1" applyFont="1" applyNumberFormat="1">
      <alignment horizontal="center" vertical="top"/>
    </xf>
    <xf borderId="1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horizontal="right" vertical="top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color rgb="FF000000"/>
      </font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Median Accuracy</a:t>
            </a:r>
          </a:p>
        </c:rich>
      </c:tx>
      <c:layout>
        <c:manualLayout>
          <c:xMode val="edge"/>
          <c:yMode val="edge"/>
          <c:x val="0.05"/>
          <c:y val="0.02132936507936508"/>
        </c:manualLayout>
      </c:layout>
      <c:overlay val="0"/>
    </c:title>
    <c:plotArea>
      <c:layout>
        <c:manualLayout>
          <c:xMode val="edge"/>
          <c:yMode val="edge"/>
          <c:x val="0.12073606927710843"/>
          <c:y val="0.1400462962962963"/>
          <c:w val="0.8491434487951808"/>
          <c:h val="0.7652116402116401"/>
        </c:manualLayout>
      </c:layout>
      <c:barChart>
        <c:barDir val="col"/>
        <c:ser>
          <c:idx val="0"/>
          <c:order val="0"/>
          <c:tx>
            <c:v>Median Accuracy Phoenix Train</c:v>
          </c:tx>
          <c:spPr>
            <a:solidFill>
              <a:schemeClr val="accent3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EKP_NA_Conclusio_CV!$N$199:$P$199</c:f>
            </c:strRef>
          </c:cat>
          <c:val>
            <c:numRef>
              <c:f>EKP_NA_Conclusio_CV!$N$200:$P$200</c:f>
              <c:numCache/>
            </c:numRef>
          </c:val>
        </c:ser>
        <c:ser>
          <c:idx val="1"/>
          <c:order val="1"/>
          <c:tx>
            <c:v>Median Accuracy Mix Train</c:v>
          </c:tx>
          <c:spPr>
            <a:solidFill>
              <a:srgbClr val="D81A60"/>
            </a:solidFill>
            <a:ln cmpd="sng">
              <a:noFill/>
            </a:ln>
          </c:spPr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EKP_NA_Conclusio_CV!$N$199:$P$199</c:f>
            </c:strRef>
          </c:cat>
          <c:val>
            <c:numRef>
              <c:f>EKP_NA_Conclusio_CV!$N$201:$P$201</c:f>
              <c:numCache/>
            </c:numRef>
          </c:val>
        </c:ser>
        <c:axId val="950518415"/>
        <c:axId val="625847163"/>
      </c:barChart>
      <c:catAx>
        <c:axId val="950518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625847163"/>
      </c:catAx>
      <c:valAx>
        <c:axId val="625847163"/>
        <c:scaling>
          <c:orientation val="minMax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51841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Median ROC</a:t>
            </a:r>
          </a:p>
        </c:rich>
      </c:tx>
      <c:layout>
        <c:manualLayout>
          <c:xMode val="edge"/>
          <c:yMode val="edge"/>
          <c:x val="0.05"/>
          <c:y val="0.0213293650793650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Median ROC Phoenix Train</c:v>
          </c:tx>
          <c:spPr>
            <a:solidFill>
              <a:srgbClr val="FFC10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EKP_NA_Conclusio_CV!$N$205:$P$205</c:f>
            </c:strRef>
          </c:cat>
          <c:val>
            <c:numRef>
              <c:f>EKP_NA_Conclusio_CV!$N$206:$P$206</c:f>
              <c:numCache/>
            </c:numRef>
          </c:val>
        </c:ser>
        <c:ser>
          <c:idx val="1"/>
          <c:order val="1"/>
          <c:tx>
            <c:v>Median ROC Mixed Train</c:v>
          </c:tx>
          <c:spPr>
            <a:solidFill>
              <a:srgbClr val="D81A6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EKP_NA_Conclusio_CV!$N$205:$P$205</c:f>
            </c:strRef>
          </c:cat>
          <c:val>
            <c:numRef>
              <c:f>EKP_NA_Conclusio_CV!$N$207:$P$207</c:f>
              <c:numCache/>
            </c:numRef>
          </c:val>
        </c:ser>
        <c:axId val="2100070818"/>
        <c:axId val="952154127"/>
      </c:barChart>
      <c:catAx>
        <c:axId val="2100070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952154127"/>
      </c:catAx>
      <c:valAx>
        <c:axId val="952154127"/>
        <c:scaling>
          <c:orientation val="minMax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07081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Median F1 Score</a:t>
            </a:r>
          </a:p>
        </c:rich>
      </c:tx>
      <c:layout>
        <c:manualLayout>
          <c:xMode val="edge"/>
          <c:yMode val="edge"/>
          <c:x val="0.05"/>
          <c:y val="0.02132936507936508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EKP_NA_Conclusio_CV!$M$212</c:f>
            </c:strRef>
          </c:tx>
          <c:spPr>
            <a:solidFill>
              <a:srgbClr val="FFC10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EKP_NA_Conclusio_CV!$N$211:$P$211</c:f>
            </c:strRef>
          </c:cat>
          <c:val>
            <c:numRef>
              <c:f>EKP_NA_Conclusio_CV!$N$212:$P$212</c:f>
              <c:numCache/>
            </c:numRef>
          </c:val>
        </c:ser>
        <c:ser>
          <c:idx val="1"/>
          <c:order val="1"/>
          <c:tx>
            <c:v>Mixed Train</c:v>
          </c:tx>
          <c:spPr>
            <a:solidFill>
              <a:srgbClr val="D81A60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EKP_NA_Conclusio_CV!$N$211:$P$211</c:f>
            </c:strRef>
          </c:cat>
          <c:val>
            <c:numRef>
              <c:f>EKP_NA_Conclusio_CV!$N$213:$P$213</c:f>
              <c:numCache/>
            </c:numRef>
          </c:val>
        </c:ser>
        <c:axId val="132099087"/>
        <c:axId val="1894024261"/>
      </c:barChart>
      <c:catAx>
        <c:axId val="132099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894024261"/>
      </c:catAx>
      <c:valAx>
        <c:axId val="1894024261"/>
        <c:scaling>
          <c:orientation val="minMax"/>
          <c:max val="0.9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9908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Overall</a:t>
            </a:r>
          </a:p>
        </c:rich>
      </c:tx>
      <c:layout>
        <c:manualLayout>
          <c:xMode val="edge"/>
          <c:yMode val="edge"/>
          <c:x val="0.027420163170163186"/>
          <c:y val="0.021109076962027955"/>
        </c:manualLayout>
      </c:layout>
      <c:overlay val="0"/>
    </c:title>
    <c:plotArea>
      <c:layout>
        <c:manualLayout>
          <c:xMode val="edge"/>
          <c:yMode val="edge"/>
          <c:x val="0.07984244791666668"/>
          <c:y val="0.13611859838274934"/>
          <c:w val="0.8892408854166668"/>
          <c:h val="0.7411051212938004"/>
        </c:manualLayout>
      </c:layout>
      <c:barChart>
        <c:barDir val="col"/>
        <c:ser>
          <c:idx val="0"/>
          <c:order val="0"/>
          <c:tx>
            <c:v>Median Phoenix Training </c:v>
          </c:tx>
          <c:spPr>
            <a:solidFill>
              <a:srgbClr val="FFC106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EKP_NA_Conclusio_CV!$N$216:$P$216</c:f>
            </c:strRef>
          </c:cat>
          <c:val>
            <c:numRef>
              <c:f>EKP_NA_Conclusio_CV!$N$217:$P$217</c:f>
              <c:numCache/>
            </c:numRef>
          </c:val>
        </c:ser>
        <c:ser>
          <c:idx val="1"/>
          <c:order val="1"/>
          <c:tx>
            <c:v>Median Mixed Train</c:v>
          </c:tx>
          <c:spPr>
            <a:solidFill>
              <a:srgbClr val="D81A6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EKP_NA_Conclusio_CV!$N$216:$P$216</c:f>
            </c:strRef>
          </c:cat>
          <c:val>
            <c:numRef>
              <c:f>EKP_NA_Conclusio_CV!$N$218:$P$218</c:f>
              <c:numCache/>
            </c:numRef>
          </c:val>
        </c:ser>
        <c:axId val="885783876"/>
        <c:axId val="2005105419"/>
      </c:barChart>
      <c:catAx>
        <c:axId val="885783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2005105419"/>
      </c:catAx>
      <c:valAx>
        <c:axId val="2005105419"/>
        <c:scaling>
          <c:orientation val="minMax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783876"/>
      </c:valAx>
    </c:plotArea>
    <c:legend>
      <c:legendPos val="t"/>
      <c:layout>
        <c:manualLayout>
          <c:xMode val="edge"/>
          <c:yMode val="edge"/>
          <c:x val="0.2938621794871795"/>
          <c:y val="0.05368373764600179"/>
        </c:manualLayout>
      </c:layout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EKP_NA_Conclusio_CV!$C$305</c:f>
            </c:strRef>
          </c:tx>
          <c:spPr>
            <a:solidFill>
              <a:srgbClr val="FFC106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EKP_NA_Conclusio_CV!$D$304:$F$304</c:f>
            </c:strRef>
          </c:cat>
          <c:val>
            <c:numRef>
              <c:f>EKP_NA_Conclusio_CV!$D$305:$F$305</c:f>
              <c:numCache/>
            </c:numRef>
          </c:val>
        </c:ser>
        <c:ser>
          <c:idx val="1"/>
          <c:order val="1"/>
          <c:tx>
            <c:strRef>
              <c:f>EKP_NA_Conclusio_CV!$C$306</c:f>
            </c:strRef>
          </c:tx>
          <c:spPr>
            <a:solidFill>
              <a:srgbClr val="D81A6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EKP_NA_Conclusio_CV!$D$304:$F$304</c:f>
            </c:strRef>
          </c:cat>
          <c:val>
            <c:numRef>
              <c:f>EKP_NA_Conclusio_CV!$D$306:$F$306</c:f>
              <c:numCache/>
            </c:numRef>
          </c:val>
        </c:ser>
        <c:axId val="1328279899"/>
        <c:axId val="914194025"/>
      </c:barChart>
      <c:catAx>
        <c:axId val="1328279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914194025"/>
      </c:catAx>
      <c:valAx>
        <c:axId val="914194025"/>
        <c:scaling>
          <c:orientation val="minMax"/>
          <c:max val="0.98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27989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Median Accuracy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EKP_NA_Conclusio_CV!$L$305</c:f>
            </c:strRef>
          </c:tx>
          <c:spPr>
            <a:solidFill>
              <a:srgbClr val="FFC10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EKP_NA_Conclusio_CV!$M$304:$O$304</c:f>
            </c:strRef>
          </c:cat>
          <c:val>
            <c:numRef>
              <c:f>EKP_NA_Conclusio_CV!$M$305:$O$305</c:f>
              <c:numCache/>
            </c:numRef>
          </c:val>
        </c:ser>
        <c:ser>
          <c:idx val="1"/>
          <c:order val="1"/>
          <c:tx>
            <c:strRef>
              <c:f>EKP_NA_Conclusio_CV!$L$306</c:f>
            </c:strRef>
          </c:tx>
          <c:spPr>
            <a:solidFill>
              <a:srgbClr val="D81A60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EKP_NA_Conclusio_CV!$M$304:$O$304</c:f>
            </c:strRef>
          </c:cat>
          <c:val>
            <c:numRef>
              <c:f>EKP_NA_Conclusio_CV!$M$306:$O$306</c:f>
              <c:numCache/>
            </c:numRef>
          </c:val>
        </c:ser>
        <c:axId val="1738115587"/>
        <c:axId val="2079144455"/>
      </c:barChart>
      <c:catAx>
        <c:axId val="1738115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79144455"/>
      </c:catAx>
      <c:valAx>
        <c:axId val="207914445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11558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Median ROC</a:t>
            </a:r>
          </a:p>
        </c:rich>
      </c:tx>
      <c:overlay val="0"/>
    </c:title>
    <c:plotArea>
      <c:layout>
        <c:manualLayout>
          <c:xMode val="edge"/>
          <c:yMode val="edge"/>
          <c:x val="0.12807305518617024"/>
          <c:y val="0.1497844827586208"/>
          <c:w val="0.8219269448138298"/>
          <c:h val="0.7579741379310343"/>
        </c:manualLayout>
      </c:layout>
      <c:barChart>
        <c:barDir val="col"/>
        <c:ser>
          <c:idx val="0"/>
          <c:order val="0"/>
          <c:tx>
            <c:strRef>
              <c:f>EKP_NA_Conclusio_CV!$L$309</c:f>
            </c:strRef>
          </c:tx>
          <c:spPr>
            <a:solidFill>
              <a:srgbClr val="FFC106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EKP_NA_Conclusio_CV!$M$308:$O$308</c:f>
            </c:strRef>
          </c:cat>
          <c:val>
            <c:numRef>
              <c:f>EKP_NA_Conclusio_CV!$M$309:$O$309</c:f>
              <c:numCache/>
            </c:numRef>
          </c:val>
        </c:ser>
        <c:ser>
          <c:idx val="1"/>
          <c:order val="1"/>
          <c:tx>
            <c:strRef>
              <c:f>EKP_NA_Conclusio_CV!$L$310</c:f>
            </c:strRef>
          </c:tx>
          <c:spPr>
            <a:solidFill>
              <a:srgbClr val="D81A6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EKP_NA_Conclusio_CV!$M$308:$O$308</c:f>
            </c:strRef>
          </c:cat>
          <c:val>
            <c:numRef>
              <c:f>EKP_NA_Conclusio_CV!$M$310:$O$310</c:f>
              <c:numCache/>
            </c:numRef>
          </c:val>
        </c:ser>
        <c:axId val="1376863356"/>
        <c:axId val="1698848856"/>
      </c:barChart>
      <c:catAx>
        <c:axId val="1376863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698848856"/>
      </c:catAx>
      <c:valAx>
        <c:axId val="169884885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863356"/>
      </c:valAx>
    </c:plotArea>
    <c:legend>
      <c:legendPos val="r"/>
      <c:layout>
        <c:manualLayout>
          <c:xMode val="edge"/>
          <c:yMode val="edge"/>
          <c:x val="1.2595963541666666"/>
          <c:y val="0.344788858939802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Median F1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EKP_NA_Conclusio_CV!$L$313</c:f>
            </c:strRef>
          </c:tx>
          <c:spPr>
            <a:solidFill>
              <a:srgbClr val="FFC10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EKP_NA_Conclusio_CV!$M$312:$O$312</c:f>
            </c:strRef>
          </c:cat>
          <c:val>
            <c:numRef>
              <c:f>EKP_NA_Conclusio_CV!$M$313:$O$313</c:f>
              <c:numCache/>
            </c:numRef>
          </c:val>
        </c:ser>
        <c:ser>
          <c:idx val="1"/>
          <c:order val="1"/>
          <c:tx>
            <c:strRef>
              <c:f>EKP_NA_Conclusio_CV!$L$314</c:f>
            </c:strRef>
          </c:tx>
          <c:spPr>
            <a:solidFill>
              <a:srgbClr val="D81A60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EKP_NA_Conclusio_CV!$M$312:$O$312</c:f>
            </c:strRef>
          </c:cat>
          <c:val>
            <c:numRef>
              <c:f>EKP_NA_Conclusio_CV!$M$314:$O$314</c:f>
              <c:numCache/>
            </c:numRef>
          </c:val>
        </c:ser>
        <c:axId val="431676803"/>
        <c:axId val="676552440"/>
      </c:barChart>
      <c:catAx>
        <c:axId val="431676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676552440"/>
      </c:catAx>
      <c:valAx>
        <c:axId val="67655244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67680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228600</xdr:colOff>
      <xdr:row>171</xdr:row>
      <xdr:rowOff>133350</xdr:rowOff>
    </xdr:from>
    <xdr:ext cx="3952875" cy="4800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85725</xdr:colOff>
      <xdr:row>195</xdr:row>
      <xdr:rowOff>142875</xdr:rowOff>
    </xdr:from>
    <xdr:ext cx="3952875" cy="4800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885825</xdr:colOff>
      <xdr:row>194</xdr:row>
      <xdr:rowOff>133350</xdr:rowOff>
    </xdr:from>
    <xdr:ext cx="3952875" cy="4800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333375</xdr:colOff>
      <xdr:row>217</xdr:row>
      <xdr:rowOff>152400</xdr:rowOff>
    </xdr:from>
    <xdr:ext cx="54483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19050</xdr:colOff>
      <xdr:row>306</xdr:row>
      <xdr:rowOff>85725</xdr:rowOff>
    </xdr:from>
    <xdr:ext cx="41529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476250</xdr:colOff>
      <xdr:row>285</xdr:row>
      <xdr:rowOff>180975</xdr:rowOff>
    </xdr:from>
    <xdr:ext cx="3638550" cy="4352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26</xdr:col>
      <xdr:colOff>733425</xdr:colOff>
      <xdr:row>313</xdr:row>
      <xdr:rowOff>95250</xdr:rowOff>
    </xdr:from>
    <xdr:ext cx="3581400" cy="44196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419100</xdr:colOff>
      <xdr:row>313</xdr:row>
      <xdr:rowOff>95250</xdr:rowOff>
    </xdr:from>
    <xdr:ext cx="3581400" cy="44196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2" max="32" width="13.13"/>
  </cols>
  <sheetData>
    <row r="1">
      <c r="A1" s="1"/>
      <c r="B1" s="1"/>
    </row>
    <row r="2">
      <c r="A2" s="1"/>
      <c r="B2" s="1"/>
      <c r="C2" s="2" t="s">
        <v>0</v>
      </c>
    </row>
    <row r="3">
      <c r="A3" s="1"/>
      <c r="B3" s="1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2</v>
      </c>
      <c r="S3" s="3" t="s">
        <v>3</v>
      </c>
      <c r="T3" s="3" t="s">
        <v>4</v>
      </c>
      <c r="U3" s="3" t="s">
        <v>5</v>
      </c>
      <c r="V3" s="3" t="s">
        <v>6</v>
      </c>
      <c r="W3" s="3" t="s">
        <v>7</v>
      </c>
      <c r="X3" s="3" t="s">
        <v>8</v>
      </c>
      <c r="Y3" s="3" t="s">
        <v>9</v>
      </c>
    </row>
    <row r="4">
      <c r="A4" s="4"/>
      <c r="B4" s="4"/>
      <c r="C4" s="5" t="s">
        <v>16</v>
      </c>
      <c r="D4" s="6">
        <v>0.766666666666666</v>
      </c>
      <c r="E4" s="6">
        <v>0.785732669257956</v>
      </c>
      <c r="F4" s="6">
        <v>0.746713671366245</v>
      </c>
      <c r="G4" s="6">
        <v>0.727532600133292</v>
      </c>
      <c r="H4" s="6">
        <v>0.602748678392894</v>
      </c>
      <c r="I4" s="6">
        <v>0.60939380742785</v>
      </c>
      <c r="J4" s="7">
        <v>20.0666666666666</v>
      </c>
      <c r="K4" s="7">
        <v>3.26666666666666</v>
      </c>
      <c r="L4" s="8">
        <v>219.6</v>
      </c>
      <c r="M4" s="8">
        <v>80.4</v>
      </c>
      <c r="N4" s="8">
        <f t="shared" ref="N4:N18" si="1">L4+M4</f>
        <v>300</v>
      </c>
      <c r="O4" s="8">
        <v>874.8</v>
      </c>
      <c r="P4" s="8">
        <v>325.2</v>
      </c>
      <c r="Q4" s="8">
        <f t="shared" ref="Q4:Q18" si="2">O4+P4</f>
        <v>1200</v>
      </c>
      <c r="R4" s="6">
        <v>0.0150554530541816</v>
      </c>
      <c r="S4" s="6">
        <v>0.0354899197078827</v>
      </c>
      <c r="T4" s="6">
        <v>0.0363940171403834</v>
      </c>
      <c r="U4" s="6">
        <v>0.0456895062932965</v>
      </c>
      <c r="V4" s="6">
        <v>0.0218302622403929</v>
      </c>
      <c r="W4" s="6">
        <v>0.0269391319172679</v>
      </c>
      <c r="X4" s="6">
        <v>1.92527054375915</v>
      </c>
      <c r="Y4" s="6">
        <v>1.38884444373331</v>
      </c>
    </row>
    <row r="5">
      <c r="A5" s="4"/>
      <c r="B5" s="4"/>
      <c r="C5" s="5" t="s">
        <v>17</v>
      </c>
      <c r="D5" s="6">
        <v>0.843055216582661</v>
      </c>
      <c r="E5" s="6">
        <v>0.907002878441407</v>
      </c>
      <c r="F5" s="6">
        <v>0.875303124307154</v>
      </c>
      <c r="G5" s="6">
        <v>0.830591054940869</v>
      </c>
      <c r="H5" s="6">
        <v>0.769311747548581</v>
      </c>
      <c r="I5" s="6">
        <v>0.789202352401899</v>
      </c>
      <c r="J5" s="7">
        <v>4.23157046027398</v>
      </c>
      <c r="K5" s="7">
        <v>11.4629078814599</v>
      </c>
      <c r="L5" s="8">
        <v>50.4</v>
      </c>
      <c r="M5" s="8">
        <v>126.6</v>
      </c>
      <c r="N5" s="8">
        <f t="shared" si="1"/>
        <v>177</v>
      </c>
      <c r="O5" s="8">
        <v>58.6</v>
      </c>
      <c r="P5" s="8">
        <v>1141.4</v>
      </c>
      <c r="Q5" s="8">
        <f t="shared" si="2"/>
        <v>1200</v>
      </c>
      <c r="R5" s="6">
        <v>0.0239115897142257</v>
      </c>
      <c r="S5" s="6">
        <v>0.0205484335689113</v>
      </c>
      <c r="T5" s="6">
        <v>0.023921505009489</v>
      </c>
      <c r="U5" s="6">
        <v>0.0235685844930208</v>
      </c>
      <c r="V5" s="6">
        <v>0.0332586149174959</v>
      </c>
      <c r="W5" s="6">
        <v>0.0303250655240985</v>
      </c>
      <c r="X5" s="6">
        <v>1.52892957492747</v>
      </c>
      <c r="Y5" s="6">
        <v>2.4662485149377</v>
      </c>
    </row>
    <row r="6">
      <c r="C6" s="5" t="s">
        <v>18</v>
      </c>
      <c r="D6" s="6">
        <v>0.852856245836322</v>
      </c>
      <c r="E6" s="6">
        <v>0.887932283534958</v>
      </c>
      <c r="F6" s="6">
        <v>0.875186289602965</v>
      </c>
      <c r="G6" s="6">
        <v>0.861529518900087</v>
      </c>
      <c r="H6" s="6">
        <v>0.808192980906343</v>
      </c>
      <c r="I6" s="6">
        <v>0.825328905272596</v>
      </c>
      <c r="J6" s="7">
        <v>3.10230197937144</v>
      </c>
      <c r="K6" s="7">
        <v>11.6120734369963</v>
      </c>
      <c r="L6" s="8">
        <v>77.8</v>
      </c>
      <c r="M6" s="8">
        <v>147.4</v>
      </c>
      <c r="N6" s="8">
        <f t="shared" si="1"/>
        <v>225.2</v>
      </c>
      <c r="O6" s="8">
        <v>149.2</v>
      </c>
      <c r="P6" s="8">
        <v>1035.6</v>
      </c>
      <c r="Q6" s="8">
        <f t="shared" si="2"/>
        <v>1184.8</v>
      </c>
      <c r="R6" s="6">
        <v>0.0158160730312461</v>
      </c>
      <c r="S6" s="6">
        <v>0.010658447750972</v>
      </c>
      <c r="T6" s="6">
        <v>0.0127394033452506</v>
      </c>
      <c r="U6" s="6">
        <v>0.0167132510553927</v>
      </c>
      <c r="V6" s="6">
        <v>0.0219723108743967</v>
      </c>
      <c r="W6" s="6">
        <v>0.0210439583420858</v>
      </c>
      <c r="X6" s="6">
        <v>0.601484236772298</v>
      </c>
      <c r="Y6" s="6">
        <v>1.40220793511103</v>
      </c>
    </row>
    <row r="7">
      <c r="C7" s="5" t="s">
        <v>19</v>
      </c>
      <c r="D7" s="6">
        <v>0.853256027874549</v>
      </c>
      <c r="E7" s="6">
        <v>0.942927489878878</v>
      </c>
      <c r="F7" s="6">
        <v>0.92100512301524</v>
      </c>
      <c r="G7" s="6">
        <v>0.864269633557422</v>
      </c>
      <c r="H7" s="6">
        <v>0.783575399483768</v>
      </c>
      <c r="I7" s="6">
        <v>0.808240465476837</v>
      </c>
      <c r="J7" s="7">
        <v>2.37477560951783</v>
      </c>
      <c r="K7" s="7">
        <v>12.2996216030271</v>
      </c>
      <c r="L7" s="8">
        <v>62.6</v>
      </c>
      <c r="M7" s="8">
        <v>139.6</v>
      </c>
      <c r="N7" s="8">
        <f t="shared" si="1"/>
        <v>202.2</v>
      </c>
      <c r="O7" s="8">
        <v>50.4</v>
      </c>
      <c r="P7" s="8">
        <v>1149.6</v>
      </c>
      <c r="Q7" s="8">
        <f t="shared" si="2"/>
        <v>1200</v>
      </c>
      <c r="R7" s="6">
        <v>0.0147829134404752</v>
      </c>
      <c r="S7" s="6">
        <v>0.0103006267274819</v>
      </c>
      <c r="T7" s="6">
        <v>0.0179177125093995</v>
      </c>
      <c r="U7" s="6">
        <v>0.0243853901544648</v>
      </c>
      <c r="V7" s="6">
        <v>0.021327449350679</v>
      </c>
      <c r="W7" s="6">
        <v>0.0213408565105056</v>
      </c>
      <c r="X7" s="6">
        <v>0.827478316853735</v>
      </c>
      <c r="Y7" s="6">
        <v>0.972884720499766</v>
      </c>
    </row>
    <row r="8">
      <c r="A8" s="4"/>
      <c r="B8" s="4"/>
      <c r="C8" s="5" t="s">
        <v>20</v>
      </c>
      <c r="D8" s="6">
        <v>0.634604085154715</v>
      </c>
      <c r="E8" s="6">
        <v>0.595120938761013</v>
      </c>
      <c r="F8" s="6">
        <v>0.548726113232392</v>
      </c>
      <c r="G8" s="6">
        <v>0.480897630817869</v>
      </c>
      <c r="H8" s="6">
        <v>0.470415084375749</v>
      </c>
      <c r="I8" s="6">
        <v>0.462854473423999</v>
      </c>
      <c r="J8" s="7">
        <v>25.145250094017</v>
      </c>
      <c r="K8" s="7">
        <v>11.3943413905113</v>
      </c>
      <c r="L8" s="8">
        <v>36.0</v>
      </c>
      <c r="M8" s="8">
        <v>206.6</v>
      </c>
      <c r="N8" s="8">
        <f t="shared" si="1"/>
        <v>242.6</v>
      </c>
      <c r="O8" s="8">
        <v>378.2</v>
      </c>
      <c r="P8" s="8">
        <v>758.2</v>
      </c>
      <c r="Q8" s="8">
        <f t="shared" si="2"/>
        <v>1136.4</v>
      </c>
      <c r="R8" s="6">
        <v>0.0184114815800788</v>
      </c>
      <c r="S8" s="6">
        <v>0.0343750093323407</v>
      </c>
      <c r="T8" s="6">
        <v>0.0288355835944639</v>
      </c>
      <c r="U8" s="6">
        <v>0.0129703461038308</v>
      </c>
      <c r="V8" s="6">
        <v>0.020457482513522</v>
      </c>
      <c r="W8" s="6">
        <v>0.0131787651973039</v>
      </c>
      <c r="X8" s="6">
        <v>1.18569744322829</v>
      </c>
      <c r="Y8" s="6">
        <v>1.9731493510053</v>
      </c>
    </row>
    <row r="9">
      <c r="C9" s="5" t="s">
        <v>21</v>
      </c>
      <c r="D9" s="6">
        <v>0.877774157633599</v>
      </c>
      <c r="E9" s="6">
        <v>0.907289964836309</v>
      </c>
      <c r="F9" s="6">
        <v>0.888567536863112</v>
      </c>
      <c r="G9" s="6">
        <v>0.880586107419773</v>
      </c>
      <c r="H9" s="6">
        <v>0.838274124421229</v>
      </c>
      <c r="I9" s="6">
        <v>0.85415075933453</v>
      </c>
      <c r="J9" s="7">
        <v>3.06883940189402</v>
      </c>
      <c r="K9" s="7">
        <v>9.15374483474606</v>
      </c>
      <c r="L9" s="8">
        <v>85.8</v>
      </c>
      <c r="M9" s="8">
        <v>174.2</v>
      </c>
      <c r="N9" s="8">
        <f t="shared" si="1"/>
        <v>260</v>
      </c>
      <c r="O9" s="8">
        <v>91.4</v>
      </c>
      <c r="P9" s="8">
        <v>1108.6</v>
      </c>
      <c r="Q9" s="8">
        <f t="shared" si="2"/>
        <v>1200</v>
      </c>
      <c r="R9" s="6">
        <v>0.00954359684705424</v>
      </c>
      <c r="S9" s="6">
        <v>0.00780486813665224</v>
      </c>
      <c r="T9" s="6">
        <v>0.0137637462422882</v>
      </c>
      <c r="U9" s="6">
        <v>0.0146618177387516</v>
      </c>
      <c r="V9" s="6">
        <v>0.0138213119774402</v>
      </c>
      <c r="W9" s="6">
        <v>0.0132737672004326</v>
      </c>
      <c r="X9" s="6">
        <v>0.839886504190284</v>
      </c>
      <c r="Y9" s="6">
        <v>0.722762272855592</v>
      </c>
    </row>
    <row r="10">
      <c r="C10" s="5" t="s">
        <v>22</v>
      </c>
      <c r="D10" s="6">
        <v>0.718823833669099</v>
      </c>
      <c r="E10" s="6">
        <v>0.549556676107871</v>
      </c>
      <c r="F10" s="6">
        <v>0.512673574963445</v>
      </c>
      <c r="G10" s="6">
        <v>0.513552217203825</v>
      </c>
      <c r="H10" s="6">
        <v>0.597078645774255</v>
      </c>
      <c r="I10" s="6">
        <v>0.460907183577835</v>
      </c>
      <c r="J10" s="7">
        <v>26.5275433338805</v>
      </c>
      <c r="K10" s="7">
        <v>1.59007329920949</v>
      </c>
      <c r="L10" s="8">
        <v>5.6</v>
      </c>
      <c r="M10" s="8">
        <v>183.2</v>
      </c>
      <c r="N10" s="8">
        <f t="shared" si="1"/>
        <v>188.8</v>
      </c>
      <c r="O10" s="8">
        <v>92.0</v>
      </c>
      <c r="P10" s="8">
        <v>1108.0</v>
      </c>
      <c r="Q10" s="8">
        <f t="shared" si="2"/>
        <v>1200</v>
      </c>
      <c r="R10" s="6">
        <v>0.0227159187986036</v>
      </c>
      <c r="S10" s="6">
        <v>0.107396914117161</v>
      </c>
      <c r="T10" s="6">
        <v>0.0106042991059009</v>
      </c>
      <c r="U10" s="6">
        <v>0.0115105325181077</v>
      </c>
      <c r="V10" s="6">
        <v>0.0822359217135626</v>
      </c>
      <c r="W10" s="6">
        <v>0.0212360241608985</v>
      </c>
      <c r="X10" s="6">
        <v>2.02253673488798</v>
      </c>
      <c r="Y10" s="6">
        <v>0.572204135062203</v>
      </c>
    </row>
    <row r="11">
      <c r="C11" s="5" t="s">
        <v>23</v>
      </c>
      <c r="D11" s="6">
        <v>0.889185445070344</v>
      </c>
      <c r="E11" s="6">
        <v>0.947172117590806</v>
      </c>
      <c r="F11" s="6">
        <v>0.915712239848201</v>
      </c>
      <c r="G11" s="6">
        <v>0.877838895938692</v>
      </c>
      <c r="H11" s="6">
        <v>0.803716819695518</v>
      </c>
      <c r="I11" s="6">
        <v>0.830773290542067</v>
      </c>
      <c r="J11" s="7">
        <v>2.53566623010794</v>
      </c>
      <c r="K11" s="7">
        <v>8.54578926285763</v>
      </c>
      <c r="L11" s="8">
        <v>53.4</v>
      </c>
      <c r="M11" s="8">
        <v>168.4</v>
      </c>
      <c r="N11" s="8">
        <f t="shared" si="1"/>
        <v>221.8</v>
      </c>
      <c r="O11" s="8">
        <v>58.8</v>
      </c>
      <c r="P11" s="8">
        <v>1080.0</v>
      </c>
      <c r="Q11" s="8">
        <f t="shared" si="2"/>
        <v>1138.8</v>
      </c>
      <c r="R11" s="6">
        <v>0.0146144580409809</v>
      </c>
      <c r="S11" s="6">
        <v>0.0042836503440961</v>
      </c>
      <c r="T11" s="6">
        <v>0.0197189870674255</v>
      </c>
      <c r="U11" s="6">
        <v>0.0349937442151351</v>
      </c>
      <c r="V11" s="6">
        <v>0.0335763336115831</v>
      </c>
      <c r="W11" s="6">
        <v>0.0306539653003497</v>
      </c>
      <c r="X11" s="6">
        <v>1.24759779591524</v>
      </c>
      <c r="Y11" s="6">
        <v>1.27394477135718</v>
      </c>
    </row>
    <row r="12">
      <c r="A12" s="4"/>
      <c r="B12" s="4"/>
      <c r="C12" s="5" t="s">
        <v>24</v>
      </c>
      <c r="D12" s="6">
        <v>0.76</v>
      </c>
      <c r="E12" s="6">
        <v>0.708036156511252</v>
      </c>
      <c r="F12" s="6">
        <v>0.584295062575392</v>
      </c>
      <c r="G12" s="6">
        <v>0.574688775746331</v>
      </c>
      <c r="H12" s="6">
        <v>0.661144564321798</v>
      </c>
      <c r="I12" s="6">
        <v>0.577240149686274</v>
      </c>
      <c r="J12" s="7">
        <v>19.6</v>
      </c>
      <c r="K12" s="7">
        <v>4.4</v>
      </c>
      <c r="L12" s="8">
        <v>28.6</v>
      </c>
      <c r="M12" s="8">
        <v>271.4</v>
      </c>
      <c r="N12" s="8">
        <f t="shared" si="1"/>
        <v>300</v>
      </c>
      <c r="O12" s="8">
        <v>109.2</v>
      </c>
      <c r="P12" s="8">
        <v>1090.8</v>
      </c>
      <c r="Q12" s="8">
        <f t="shared" si="2"/>
        <v>1200</v>
      </c>
      <c r="R12" s="6">
        <v>0.00869226987360356</v>
      </c>
      <c r="S12" s="6">
        <v>0.0288298632357092</v>
      </c>
      <c r="T12" s="6">
        <v>0.0221561142904919</v>
      </c>
      <c r="U12" s="6">
        <v>0.011740824208841</v>
      </c>
      <c r="V12" s="6">
        <v>0.0233761748119636</v>
      </c>
      <c r="W12" s="6">
        <v>0.0159417565245203</v>
      </c>
      <c r="X12" s="6">
        <v>1.14309521329881</v>
      </c>
      <c r="Y12" s="6">
        <v>0.573488351136175</v>
      </c>
    </row>
    <row r="13">
      <c r="A13" s="4"/>
      <c r="B13" s="4"/>
      <c r="C13" s="5" t="s">
        <v>25</v>
      </c>
      <c r="D13" s="6">
        <v>0.861333333333333</v>
      </c>
      <c r="E13" s="6">
        <v>0.906732616957294</v>
      </c>
      <c r="F13" s="6">
        <v>0.892625254382605</v>
      </c>
      <c r="G13" s="6">
        <v>0.862237507568674</v>
      </c>
      <c r="H13" s="6">
        <v>0.861347875188745</v>
      </c>
      <c r="I13" s="6">
        <v>0.861079573680191</v>
      </c>
      <c r="J13" s="7">
        <v>8.33333333333333</v>
      </c>
      <c r="K13" s="7">
        <v>5.53333333333333</v>
      </c>
      <c r="L13" s="8">
        <v>148.8</v>
      </c>
      <c r="M13" s="8">
        <v>151.2</v>
      </c>
      <c r="N13" s="8">
        <f t="shared" si="1"/>
        <v>300</v>
      </c>
      <c r="O13" s="8">
        <v>537.4</v>
      </c>
      <c r="P13" s="8">
        <v>662.6</v>
      </c>
      <c r="Q13" s="8">
        <f t="shared" si="2"/>
        <v>1200</v>
      </c>
      <c r="R13" s="6">
        <v>0.0182086670449968</v>
      </c>
      <c r="S13" s="6">
        <v>0.0116241723633483</v>
      </c>
      <c r="T13" s="6">
        <v>0.0203545314846964</v>
      </c>
      <c r="U13" s="6">
        <v>0.0176093574535377</v>
      </c>
      <c r="V13" s="6">
        <v>0.0185537463350555</v>
      </c>
      <c r="W13" s="6">
        <v>0.0183848000716639</v>
      </c>
      <c r="X13" s="6">
        <v>1.22927259430571</v>
      </c>
      <c r="Y13" s="6">
        <v>0.618241233033047</v>
      </c>
    </row>
    <row r="14">
      <c r="A14" s="4"/>
      <c r="B14" s="4"/>
      <c r="C14" s="5" t="s">
        <v>26</v>
      </c>
      <c r="D14" s="6">
        <v>0.268539604845413</v>
      </c>
      <c r="E14" s="6">
        <v>0.59778498690204</v>
      </c>
      <c r="F14" s="6">
        <v>0.577472679273439</v>
      </c>
      <c r="G14" s="6">
        <v>0.59689090966555</v>
      </c>
      <c r="H14" s="6">
        <v>0.556442107726223</v>
      </c>
      <c r="I14" s="6">
        <v>0.262457342065245</v>
      </c>
      <c r="J14" s="7">
        <v>73.1460395154586</v>
      </c>
      <c r="K14" s="7">
        <v>0.0</v>
      </c>
      <c r="L14" s="8">
        <v>36.6</v>
      </c>
      <c r="M14" s="8">
        <v>171.6</v>
      </c>
      <c r="N14" s="8">
        <f t="shared" si="1"/>
        <v>208.2</v>
      </c>
      <c r="O14" s="8">
        <v>884.0</v>
      </c>
      <c r="P14" s="8">
        <v>316.0</v>
      </c>
      <c r="Q14" s="8">
        <f t="shared" si="2"/>
        <v>1200</v>
      </c>
      <c r="R14" s="6">
        <v>0.0384686142646455</v>
      </c>
      <c r="S14" s="6">
        <v>0.0346206440225212</v>
      </c>
      <c r="T14" s="6">
        <v>0.0206959366040971</v>
      </c>
      <c r="U14" s="6">
        <v>0.0138105693639852</v>
      </c>
      <c r="V14" s="6">
        <v>0.0171422338684223</v>
      </c>
      <c r="W14" s="6">
        <v>0.0391466320874299</v>
      </c>
      <c r="X14" s="6">
        <v>3.84686142646455</v>
      </c>
      <c r="Y14" s="6">
        <v>0.0</v>
      </c>
    </row>
    <row r="15">
      <c r="A15" s="4"/>
      <c r="B15" s="4"/>
      <c r="C15" s="5" t="s">
        <v>27</v>
      </c>
      <c r="D15" s="6">
        <v>0.616777499455067</v>
      </c>
      <c r="E15" s="6">
        <v>0.681523571090229</v>
      </c>
      <c r="F15" s="6">
        <v>0.653977243897898</v>
      </c>
      <c r="G15" s="6">
        <v>0.661997894149537</v>
      </c>
      <c r="H15" s="6">
        <v>0.672936110806329</v>
      </c>
      <c r="I15" s="6">
        <v>0.615470050181886</v>
      </c>
      <c r="J15" s="7">
        <v>33.0457948635956</v>
      </c>
      <c r="K15" s="7">
        <v>5.27645519089768</v>
      </c>
      <c r="L15" s="8">
        <v>68.8</v>
      </c>
      <c r="M15" s="8">
        <v>136.8</v>
      </c>
      <c r="N15" s="8">
        <f t="shared" si="1"/>
        <v>205.6</v>
      </c>
      <c r="O15" s="8">
        <v>234.6</v>
      </c>
      <c r="P15" s="8">
        <v>965.4</v>
      </c>
      <c r="Q15" s="8">
        <f t="shared" si="2"/>
        <v>1200</v>
      </c>
      <c r="R15" s="6">
        <v>0.0348190558608494</v>
      </c>
      <c r="S15" s="6">
        <v>0.0395433962700076</v>
      </c>
      <c r="T15" s="6">
        <v>0.0320686166762379</v>
      </c>
      <c r="U15" s="6">
        <v>0.0242775562434818</v>
      </c>
      <c r="V15" s="6">
        <v>0.0302980262580474</v>
      </c>
      <c r="W15" s="6">
        <v>0.0340297790669498</v>
      </c>
      <c r="X15" s="6">
        <v>3.06820654626253</v>
      </c>
      <c r="Y15" s="6">
        <v>0.731322383230651</v>
      </c>
    </row>
    <row r="16">
      <c r="A16" s="4"/>
      <c r="B16" s="4"/>
      <c r="C16" s="5" t="s">
        <v>28</v>
      </c>
      <c r="D16" s="6">
        <v>0.806394930639013</v>
      </c>
      <c r="E16" s="6">
        <v>0.864410212038769</v>
      </c>
      <c r="F16" s="6">
        <v>0.826782073824829</v>
      </c>
      <c r="G16" s="6">
        <v>0.781688522180967</v>
      </c>
      <c r="H16" s="6">
        <v>0.795699599446565</v>
      </c>
      <c r="I16" s="6">
        <v>0.785364884842097</v>
      </c>
      <c r="J16" s="7">
        <v>11.5551066908811</v>
      </c>
      <c r="K16" s="7">
        <v>7.80540024521744</v>
      </c>
      <c r="L16" s="8">
        <v>79.2</v>
      </c>
      <c r="M16" s="8">
        <v>163.6</v>
      </c>
      <c r="N16" s="8">
        <f t="shared" si="1"/>
        <v>242.8</v>
      </c>
      <c r="O16" s="8">
        <v>194.4</v>
      </c>
      <c r="P16" s="8">
        <v>1005.6</v>
      </c>
      <c r="Q16" s="8">
        <f t="shared" si="2"/>
        <v>1200</v>
      </c>
      <c r="R16" s="6">
        <v>0.0255910902175339</v>
      </c>
      <c r="S16" s="6">
        <v>0.0133550662236884</v>
      </c>
      <c r="T16" s="6">
        <v>0.0264292799517082</v>
      </c>
      <c r="U16" s="6">
        <v>0.0314715338588325</v>
      </c>
      <c r="V16" s="6">
        <v>0.030338811556663</v>
      </c>
      <c r="W16" s="6">
        <v>0.0302781367299314</v>
      </c>
      <c r="X16" s="6">
        <v>2.87480745889553</v>
      </c>
      <c r="Y16" s="6">
        <v>2.2122567110125</v>
      </c>
    </row>
    <row r="17">
      <c r="A17" s="4"/>
      <c r="B17" s="4"/>
      <c r="C17" s="5" t="s">
        <v>29</v>
      </c>
      <c r="D17" s="6">
        <v>0.921685600315317</v>
      </c>
      <c r="E17" s="6">
        <v>0.928100851363643</v>
      </c>
      <c r="F17" s="6">
        <v>0.908107274440099</v>
      </c>
      <c r="G17" s="6">
        <v>0.917787775320758</v>
      </c>
      <c r="H17" s="6">
        <v>0.915150012207651</v>
      </c>
      <c r="I17" s="6">
        <v>0.916427381980954</v>
      </c>
      <c r="J17" s="7">
        <v>3.6277281099491</v>
      </c>
      <c r="K17" s="7">
        <v>4.20371185851912</v>
      </c>
      <c r="L17" s="8">
        <v>91.8</v>
      </c>
      <c r="M17" s="8">
        <v>150.8</v>
      </c>
      <c r="N17" s="8">
        <f t="shared" si="1"/>
        <v>242.6</v>
      </c>
      <c r="O17" s="8">
        <v>397.6</v>
      </c>
      <c r="P17" s="8">
        <v>802.4</v>
      </c>
      <c r="Q17" s="8">
        <f t="shared" si="2"/>
        <v>1200</v>
      </c>
      <c r="R17" s="6">
        <v>0.00857780493981092</v>
      </c>
      <c r="S17" s="6">
        <v>0.00837300115995866</v>
      </c>
      <c r="T17" s="6">
        <v>0.0109683568215194</v>
      </c>
      <c r="U17" s="6">
        <v>0.00840205700685978</v>
      </c>
      <c r="V17" s="6">
        <v>0.0087224832531004</v>
      </c>
      <c r="W17" s="6">
        <v>0.00855649537933811</v>
      </c>
      <c r="X17" s="6">
        <v>0.405763122784531</v>
      </c>
      <c r="Y17" s="6">
        <v>0.472131472432244</v>
      </c>
    </row>
    <row r="18">
      <c r="C18" s="5" t="s">
        <v>30</v>
      </c>
      <c r="D18" s="6">
        <v>0.0</v>
      </c>
      <c r="E18" s="6"/>
      <c r="F18" s="6">
        <v>1.0</v>
      </c>
      <c r="G18" s="6">
        <v>0.0</v>
      </c>
      <c r="H18" s="6">
        <v>0.0</v>
      </c>
      <c r="I18" s="6">
        <v>0.0</v>
      </c>
      <c r="J18" s="7">
        <v>0.0</v>
      </c>
      <c r="K18" s="7">
        <v>0.0</v>
      </c>
      <c r="L18" s="8">
        <v>0.0</v>
      </c>
      <c r="M18" s="8">
        <v>0.0</v>
      </c>
      <c r="N18" s="8">
        <f t="shared" si="1"/>
        <v>0</v>
      </c>
      <c r="O18" s="8">
        <v>224.8</v>
      </c>
      <c r="P18" s="8">
        <v>975.2</v>
      </c>
      <c r="Q18" s="8">
        <f t="shared" si="2"/>
        <v>1200</v>
      </c>
      <c r="R18" s="6">
        <v>0.0</v>
      </c>
      <c r="S18" s="9"/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</row>
    <row r="19">
      <c r="A19" s="1"/>
      <c r="B19" s="1"/>
      <c r="C19" s="5" t="s">
        <v>31</v>
      </c>
      <c r="D19" s="6">
        <f t="shared" ref="D19:K19" si="3">MEDIAN(D4:D18)</f>
        <v>0.8063949306</v>
      </c>
      <c r="E19" s="6">
        <f t="shared" si="3"/>
        <v>0.8761712478</v>
      </c>
      <c r="F19" s="6">
        <f t="shared" si="3"/>
        <v>0.8751862896</v>
      </c>
      <c r="G19" s="6">
        <f t="shared" si="3"/>
        <v>0.7816885222</v>
      </c>
      <c r="H19" s="6">
        <f t="shared" si="3"/>
        <v>0.7693117475</v>
      </c>
      <c r="I19" s="6">
        <f t="shared" si="3"/>
        <v>0.7853648848</v>
      </c>
      <c r="J19" s="7">
        <f t="shared" si="3"/>
        <v>8.333333333</v>
      </c>
      <c r="K19" s="7">
        <f t="shared" si="3"/>
        <v>5.533333333</v>
      </c>
    </row>
    <row r="20">
      <c r="A20" s="1"/>
      <c r="B20" s="1"/>
      <c r="C20" s="2" t="s">
        <v>32</v>
      </c>
    </row>
    <row r="21">
      <c r="A21" s="1"/>
      <c r="B21" s="1"/>
      <c r="C21" s="2"/>
    </row>
    <row r="22">
      <c r="A22" s="1"/>
      <c r="B22" s="1"/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M22" s="3" t="s">
        <v>11</v>
      </c>
      <c r="N22" s="3" t="s">
        <v>12</v>
      </c>
      <c r="O22" s="3" t="s">
        <v>13</v>
      </c>
      <c r="P22" s="3" t="s">
        <v>14</v>
      </c>
      <c r="Q22" s="3" t="s">
        <v>15</v>
      </c>
      <c r="R22" s="3" t="s">
        <v>2</v>
      </c>
      <c r="S22" s="3" t="s">
        <v>3</v>
      </c>
      <c r="T22" s="3" t="s">
        <v>4</v>
      </c>
      <c r="U22" s="3" t="s">
        <v>5</v>
      </c>
      <c r="V22" s="3" t="s">
        <v>6</v>
      </c>
      <c r="W22" s="3" t="s">
        <v>7</v>
      </c>
      <c r="X22" s="3" t="s">
        <v>8</v>
      </c>
      <c r="Y22" s="3" t="s">
        <v>9</v>
      </c>
    </row>
    <row r="23">
      <c r="A23" s="4"/>
      <c r="B23" s="4"/>
      <c r="C23" s="5" t="s">
        <v>16</v>
      </c>
      <c r="D23" s="6">
        <v>0.921333333333333</v>
      </c>
      <c r="E23" s="6">
        <v>0.941530628040241</v>
      </c>
      <c r="F23" s="6">
        <v>0.930047365029005</v>
      </c>
      <c r="G23" s="6">
        <v>0.899054334112328</v>
      </c>
      <c r="H23" s="6">
        <v>0.901581194159162</v>
      </c>
      <c r="I23" s="6">
        <v>0.900196793574061</v>
      </c>
      <c r="J23" s="7">
        <v>3.8</v>
      </c>
      <c r="K23" s="7">
        <v>4.06666666666666</v>
      </c>
      <c r="L23" s="8">
        <v>218.6</v>
      </c>
      <c r="M23" s="8">
        <v>81.4</v>
      </c>
      <c r="N23" s="8">
        <f t="shared" ref="N23:N37" si="4">L23+M23</f>
        <v>300</v>
      </c>
      <c r="O23" s="8">
        <v>874.8</v>
      </c>
      <c r="P23" s="8">
        <v>325.2</v>
      </c>
      <c r="Q23" s="8">
        <f t="shared" ref="Q23:Q37" si="5">O23+P23</f>
        <v>1200</v>
      </c>
      <c r="R23" s="6">
        <v>0.0143913554299486</v>
      </c>
      <c r="S23" s="6">
        <v>0.0117256309774809</v>
      </c>
      <c r="T23" s="6">
        <v>0.0100349853714334</v>
      </c>
      <c r="U23" s="6">
        <v>0.0221320151625535</v>
      </c>
      <c r="V23" s="6">
        <v>0.0173892750835482</v>
      </c>
      <c r="W23" s="6">
        <v>0.0195970259741538</v>
      </c>
      <c r="X23" s="6">
        <v>0.541602560309064</v>
      </c>
      <c r="Y23" s="6">
        <v>1.04136662345422</v>
      </c>
    </row>
    <row r="24">
      <c r="A24" s="4"/>
      <c r="B24" s="4"/>
      <c r="C24" s="5" t="s">
        <v>17</v>
      </c>
      <c r="D24" s="6">
        <v>0.948666666666666</v>
      </c>
      <c r="E24" s="6">
        <v>0.938160027700079</v>
      </c>
      <c r="F24" s="6">
        <v>0.751768972060099</v>
      </c>
      <c r="G24" s="6">
        <v>0.72733021055143</v>
      </c>
      <c r="H24" s="6">
        <v>0.771436202349108</v>
      </c>
      <c r="I24" s="6">
        <v>0.744664007823074</v>
      </c>
      <c r="J24" s="7">
        <v>3.06666666666666</v>
      </c>
      <c r="K24" s="7">
        <v>2.06666666666666</v>
      </c>
      <c r="L24" s="8">
        <v>14.6</v>
      </c>
      <c r="M24" s="8">
        <v>285.4</v>
      </c>
      <c r="N24" s="8">
        <f t="shared" si="4"/>
        <v>300</v>
      </c>
      <c r="O24" s="8">
        <v>58.6</v>
      </c>
      <c r="P24" s="8">
        <v>1141.4</v>
      </c>
      <c r="Q24" s="8">
        <f t="shared" si="5"/>
        <v>1200</v>
      </c>
      <c r="R24" s="6">
        <v>0.00858939915115009</v>
      </c>
      <c r="S24" s="6">
        <v>0.0259473632943665</v>
      </c>
      <c r="T24" s="6">
        <v>0.0445899745708768</v>
      </c>
      <c r="U24" s="6">
        <v>0.0340489888765585</v>
      </c>
      <c r="V24" s="6">
        <v>0.0609271479649663</v>
      </c>
      <c r="W24" s="6">
        <v>0.037946589058086</v>
      </c>
      <c r="X24" s="6">
        <v>0.771722460186015</v>
      </c>
      <c r="Y24" s="6">
        <v>0.679869268479038</v>
      </c>
    </row>
    <row r="25">
      <c r="C25" s="5" t="s">
        <v>18</v>
      </c>
      <c r="D25" s="6">
        <v>0.91142348869178</v>
      </c>
      <c r="E25" s="6">
        <v>0.804120376125982</v>
      </c>
      <c r="F25" s="6">
        <v>0.755936651315742</v>
      </c>
      <c r="G25" s="6">
        <v>0.824199178891928</v>
      </c>
      <c r="H25" s="6">
        <v>0.766084245365646</v>
      </c>
      <c r="I25" s="6">
        <v>0.788788686523763</v>
      </c>
      <c r="J25" s="7">
        <v>3.07226341113954</v>
      </c>
      <c r="K25" s="7">
        <v>5.78538771968239</v>
      </c>
      <c r="L25" s="8">
        <v>39.6</v>
      </c>
      <c r="M25" s="8">
        <v>254.0</v>
      </c>
      <c r="N25" s="8">
        <f t="shared" si="4"/>
        <v>293.6</v>
      </c>
      <c r="O25" s="8">
        <v>149.2</v>
      </c>
      <c r="P25" s="8">
        <v>1035.6</v>
      </c>
      <c r="Q25" s="8">
        <f t="shared" si="5"/>
        <v>1184.8</v>
      </c>
      <c r="R25" s="6">
        <v>0.00668837899293656</v>
      </c>
      <c r="S25" s="6">
        <v>0.057956029340145</v>
      </c>
      <c r="T25" s="6">
        <v>0.0458002365320548</v>
      </c>
      <c r="U25" s="6">
        <v>0.039977885396402</v>
      </c>
      <c r="V25" s="6">
        <v>0.0357737476335808</v>
      </c>
      <c r="W25" s="6">
        <v>0.0333043217852365</v>
      </c>
      <c r="X25" s="6">
        <v>1.00587416881932</v>
      </c>
      <c r="Y25" s="6">
        <v>0.929253334156514</v>
      </c>
    </row>
    <row r="26">
      <c r="C26" s="5" t="s">
        <v>19</v>
      </c>
      <c r="D26" s="6">
        <v>0.952666666666666</v>
      </c>
      <c r="E26" s="6">
        <v>0.970755547055116</v>
      </c>
      <c r="F26" s="6">
        <v>0.778847876870705</v>
      </c>
      <c r="G26" s="6">
        <v>0.744162404135386</v>
      </c>
      <c r="H26" s="6">
        <v>0.874848427434634</v>
      </c>
      <c r="I26" s="6">
        <v>0.789055878300955</v>
      </c>
      <c r="J26" s="7">
        <v>3.66666666666666</v>
      </c>
      <c r="K26" s="7">
        <v>1.06666666666666</v>
      </c>
      <c r="L26" s="8">
        <v>13.6</v>
      </c>
      <c r="M26" s="8">
        <v>286.4</v>
      </c>
      <c r="N26" s="8">
        <f t="shared" si="4"/>
        <v>300</v>
      </c>
      <c r="O26" s="8">
        <v>50.4</v>
      </c>
      <c r="P26" s="8">
        <v>1149.6</v>
      </c>
      <c r="Q26" s="8">
        <f t="shared" si="5"/>
        <v>1200</v>
      </c>
      <c r="R26" s="6">
        <v>0.0156914697279197</v>
      </c>
      <c r="S26" s="6">
        <v>0.0159963501850092</v>
      </c>
      <c r="T26" s="6">
        <v>0.0683789509966675</v>
      </c>
      <c r="U26" s="6">
        <v>0.0480496855335125</v>
      </c>
      <c r="V26" s="6">
        <v>0.0549377798173563</v>
      </c>
      <c r="W26" s="6">
        <v>0.0463459653604329</v>
      </c>
      <c r="X26" s="6">
        <v>1.29957257930786</v>
      </c>
      <c r="Y26" s="6">
        <v>0.82731157639939</v>
      </c>
    </row>
    <row r="27">
      <c r="A27" s="4"/>
      <c r="B27" s="4"/>
      <c r="C27" s="5" t="s">
        <v>20</v>
      </c>
      <c r="D27" s="6">
        <v>0.744125697589872</v>
      </c>
      <c r="E27" s="6">
        <v>0.801617972707891</v>
      </c>
      <c r="F27" s="6">
        <v>0.76144573775206</v>
      </c>
      <c r="G27" s="6">
        <v>0.720645578366917</v>
      </c>
      <c r="H27" s="6">
        <v>0.712977075248923</v>
      </c>
      <c r="I27" s="6">
        <v>0.714935854076066</v>
      </c>
      <c r="J27" s="7">
        <v>11.6622526005365</v>
      </c>
      <c r="K27" s="7">
        <v>13.9251776404761</v>
      </c>
      <c r="L27" s="8">
        <v>99.2</v>
      </c>
      <c r="M27" s="8">
        <v>180.4</v>
      </c>
      <c r="N27" s="8">
        <f t="shared" si="4"/>
        <v>279.6</v>
      </c>
      <c r="O27" s="8">
        <v>378.2</v>
      </c>
      <c r="P27" s="8">
        <v>758.2</v>
      </c>
      <c r="Q27" s="8">
        <f t="shared" si="5"/>
        <v>1136.4</v>
      </c>
      <c r="R27" s="6">
        <v>0.0192529937211578</v>
      </c>
      <c r="S27" s="6">
        <v>0.0162277098866812</v>
      </c>
      <c r="T27" s="6">
        <v>0.021687387267964</v>
      </c>
      <c r="U27" s="6">
        <v>0.0285801690553664</v>
      </c>
      <c r="V27" s="6">
        <v>0.0250120638930405</v>
      </c>
      <c r="W27" s="6">
        <v>0.0248770594164572</v>
      </c>
      <c r="X27" s="6">
        <v>2.38714092860769</v>
      </c>
      <c r="Y27" s="6">
        <v>1.80556867376714</v>
      </c>
    </row>
    <row r="28">
      <c r="C28" s="5" t="s">
        <v>21</v>
      </c>
      <c r="D28" s="6">
        <v>0.942</v>
      </c>
      <c r="E28" s="6">
        <v>0.92530954773328</v>
      </c>
      <c r="F28" s="6">
        <v>0.795838967784814</v>
      </c>
      <c r="G28" s="6">
        <v>0.797482962494091</v>
      </c>
      <c r="H28" s="6">
        <v>0.890235974321366</v>
      </c>
      <c r="I28" s="6">
        <v>0.834439083001576</v>
      </c>
      <c r="J28" s="7">
        <v>4.4</v>
      </c>
      <c r="K28" s="7">
        <v>1.4</v>
      </c>
      <c r="L28" s="8">
        <v>25.6</v>
      </c>
      <c r="M28" s="8">
        <v>274.4</v>
      </c>
      <c r="N28" s="8">
        <f t="shared" si="4"/>
        <v>300</v>
      </c>
      <c r="O28" s="8">
        <v>91.4</v>
      </c>
      <c r="P28" s="8">
        <v>1108.6</v>
      </c>
      <c r="Q28" s="8">
        <f t="shared" si="5"/>
        <v>1200</v>
      </c>
      <c r="R28" s="6">
        <v>0.0116619037896905</v>
      </c>
      <c r="S28" s="6">
        <v>0.0342740028096069</v>
      </c>
      <c r="T28" s="6">
        <v>0.0432012860830466</v>
      </c>
      <c r="U28" s="6">
        <v>0.0501753438363629</v>
      </c>
      <c r="V28" s="6">
        <v>0.0347450512673</v>
      </c>
      <c r="W28" s="6">
        <v>0.0432850651938868</v>
      </c>
      <c r="X28" s="6">
        <v>0.975249255888519</v>
      </c>
      <c r="Y28" s="6">
        <v>0.38873012632302</v>
      </c>
    </row>
    <row r="29">
      <c r="C29" s="5" t="s">
        <v>22</v>
      </c>
      <c r="D29" s="6">
        <v>0.962</v>
      </c>
      <c r="E29" s="6">
        <v>0.960970847868926</v>
      </c>
      <c r="F29" s="6">
        <v>0.849255244769474</v>
      </c>
      <c r="G29" s="6">
        <v>0.862060379389438</v>
      </c>
      <c r="H29" s="6">
        <v>0.903737411657683</v>
      </c>
      <c r="I29" s="6">
        <v>0.880595285646909</v>
      </c>
      <c r="J29" s="7">
        <v>2.46666666666666</v>
      </c>
      <c r="K29" s="7">
        <v>1.33333333333333</v>
      </c>
      <c r="L29" s="8">
        <v>25.0</v>
      </c>
      <c r="M29" s="8">
        <v>275.0</v>
      </c>
      <c r="N29" s="8">
        <f t="shared" si="4"/>
        <v>300</v>
      </c>
      <c r="O29" s="8">
        <v>92.0</v>
      </c>
      <c r="P29" s="8">
        <v>1108.0</v>
      </c>
      <c r="Q29" s="8">
        <f t="shared" si="5"/>
        <v>1200</v>
      </c>
      <c r="R29" s="6">
        <v>0.00541602560309061</v>
      </c>
      <c r="S29" s="6">
        <v>0.0107009079050513</v>
      </c>
      <c r="T29" s="6">
        <v>0.0245642915454171</v>
      </c>
      <c r="U29" s="6">
        <v>0.0255447626166321</v>
      </c>
      <c r="V29" s="6">
        <v>0.0260582773892516</v>
      </c>
      <c r="W29" s="6">
        <v>0.0204640233124256</v>
      </c>
      <c r="X29" s="6">
        <v>0.686375342732466</v>
      </c>
      <c r="Y29" s="6">
        <v>0.36514837167011</v>
      </c>
    </row>
    <row r="30">
      <c r="C30" s="5" t="s">
        <v>23</v>
      </c>
      <c r="D30" s="6">
        <v>0.950982544550585</v>
      </c>
      <c r="E30" s="6">
        <v>0.962522287488279</v>
      </c>
      <c r="F30" s="6">
        <v>0.782800642246435</v>
      </c>
      <c r="G30" s="6">
        <v>0.771412342055917</v>
      </c>
      <c r="H30" s="6">
        <v>0.855417240206318</v>
      </c>
      <c r="I30" s="6">
        <v>0.804397702744037</v>
      </c>
      <c r="J30" s="7">
        <v>3.4344845901766</v>
      </c>
      <c r="K30" s="7">
        <v>1.46726095476484</v>
      </c>
      <c r="L30" s="8">
        <v>16.4</v>
      </c>
      <c r="M30" s="8">
        <v>269.8</v>
      </c>
      <c r="N30" s="8">
        <f t="shared" si="4"/>
        <v>286.2</v>
      </c>
      <c r="O30" s="8">
        <v>58.8</v>
      </c>
      <c r="P30" s="8">
        <v>1080.0</v>
      </c>
      <c r="Q30" s="8">
        <f t="shared" si="5"/>
        <v>1138.8</v>
      </c>
      <c r="R30" s="6">
        <v>0.00933271296800924</v>
      </c>
      <c r="S30" s="6">
        <v>0.0258524256747349</v>
      </c>
      <c r="T30" s="6">
        <v>0.0341186167261483</v>
      </c>
      <c r="U30" s="6">
        <v>0.0241280334814631</v>
      </c>
      <c r="V30" s="6">
        <v>0.0341284522360711</v>
      </c>
      <c r="W30" s="6">
        <v>0.0159889331460011</v>
      </c>
      <c r="X30" s="6">
        <v>1.01470231352649</v>
      </c>
      <c r="Y30" s="6">
        <v>0.601624859531371</v>
      </c>
    </row>
    <row r="31">
      <c r="A31" s="4"/>
      <c r="B31" s="4"/>
      <c r="C31" s="5" t="s">
        <v>24</v>
      </c>
      <c r="D31" s="6">
        <v>0.954</v>
      </c>
      <c r="E31" s="6">
        <v>0.974132658523618</v>
      </c>
      <c r="F31" s="6">
        <v>0.854369224916077</v>
      </c>
      <c r="G31" s="6">
        <v>0.850506679899443</v>
      </c>
      <c r="H31" s="6">
        <v>0.921181183635417</v>
      </c>
      <c r="I31" s="6">
        <v>0.880610574232634</v>
      </c>
      <c r="J31" s="7">
        <v>3.4</v>
      </c>
      <c r="K31" s="7">
        <v>1.2</v>
      </c>
      <c r="L31" s="8">
        <v>29.2</v>
      </c>
      <c r="M31" s="8">
        <v>270.8</v>
      </c>
      <c r="N31" s="8">
        <f t="shared" si="4"/>
        <v>300</v>
      </c>
      <c r="O31" s="8">
        <v>109.2</v>
      </c>
      <c r="P31" s="8">
        <v>1090.8</v>
      </c>
      <c r="Q31" s="8">
        <f t="shared" si="5"/>
        <v>1200</v>
      </c>
      <c r="R31" s="6">
        <v>0.0038873012632302</v>
      </c>
      <c r="S31" s="6">
        <v>0.00347444262937355</v>
      </c>
      <c r="T31" s="6">
        <v>0.0297035912276572</v>
      </c>
      <c r="U31" s="6">
        <v>0.0113770524383933</v>
      </c>
      <c r="V31" s="6">
        <v>0.0256619237253851</v>
      </c>
      <c r="W31" s="6">
        <v>0.00873580903104107</v>
      </c>
      <c r="X31" s="6">
        <v>0.38873012632302</v>
      </c>
      <c r="Y31" s="6">
        <v>0.65319726474218</v>
      </c>
    </row>
    <row r="32">
      <c r="A32" s="4"/>
      <c r="B32" s="4"/>
      <c r="C32" s="5" t="s">
        <v>25</v>
      </c>
      <c r="D32" s="6">
        <v>0.872666666666666</v>
      </c>
      <c r="E32" s="6">
        <v>0.949259156233995</v>
      </c>
      <c r="F32" s="6">
        <v>0.947312436984006</v>
      </c>
      <c r="G32" s="6">
        <v>0.872339397181536</v>
      </c>
      <c r="H32" s="6">
        <v>0.872297952796047</v>
      </c>
      <c r="I32" s="6">
        <v>0.871182284313492</v>
      </c>
      <c r="J32" s="7">
        <v>6.46666666666666</v>
      </c>
      <c r="K32" s="7">
        <v>6.26666666666666</v>
      </c>
      <c r="L32" s="8">
        <v>134.0</v>
      </c>
      <c r="M32" s="8">
        <v>166.0</v>
      </c>
      <c r="N32" s="8">
        <f t="shared" si="4"/>
        <v>300</v>
      </c>
      <c r="O32" s="8">
        <v>537.4</v>
      </c>
      <c r="P32" s="8">
        <v>662.6</v>
      </c>
      <c r="Q32" s="8">
        <f t="shared" si="5"/>
        <v>1200</v>
      </c>
      <c r="R32" s="6">
        <v>0.0097524925588852</v>
      </c>
      <c r="S32" s="6">
        <v>0.013729647656712</v>
      </c>
      <c r="T32" s="6">
        <v>0.0136390353545771</v>
      </c>
      <c r="U32" s="6">
        <v>0.00798046840054801</v>
      </c>
      <c r="V32" s="6">
        <v>0.0114282682837196</v>
      </c>
      <c r="W32" s="6">
        <v>0.00973838604732542</v>
      </c>
      <c r="X32" s="6">
        <v>1.58605030044937</v>
      </c>
      <c r="Y32" s="6">
        <v>2.08059820457696</v>
      </c>
    </row>
    <row r="33">
      <c r="A33" s="4"/>
      <c r="B33" s="4"/>
      <c r="C33" s="5" t="s">
        <v>26</v>
      </c>
      <c r="D33" s="6">
        <v>0.918666666666666</v>
      </c>
      <c r="E33" s="6">
        <v>0.943228697169841</v>
      </c>
      <c r="F33" s="6">
        <v>0.919095795982147</v>
      </c>
      <c r="G33" s="6">
        <v>0.899736628498334</v>
      </c>
      <c r="H33" s="6">
        <v>0.896513030653462</v>
      </c>
      <c r="I33" s="6">
        <v>0.897871263448345</v>
      </c>
      <c r="J33" s="7">
        <v>4.26666666666666</v>
      </c>
      <c r="K33" s="7">
        <v>3.86666666666666</v>
      </c>
      <c r="L33" s="8">
        <v>217.0</v>
      </c>
      <c r="M33" s="8">
        <v>83.0</v>
      </c>
      <c r="N33" s="8">
        <f t="shared" si="4"/>
        <v>300</v>
      </c>
      <c r="O33" s="8">
        <v>884.0</v>
      </c>
      <c r="P33" s="8">
        <v>316.0</v>
      </c>
      <c r="Q33" s="8">
        <f t="shared" si="5"/>
        <v>1200</v>
      </c>
      <c r="R33" s="6">
        <v>0.0100221975855819</v>
      </c>
      <c r="S33" s="6">
        <v>0.0167006099340607</v>
      </c>
      <c r="T33" s="6">
        <v>0.00957643613779288</v>
      </c>
      <c r="U33" s="6">
        <v>0.0044968916173044</v>
      </c>
      <c r="V33" s="6">
        <v>0.0112981216200774</v>
      </c>
      <c r="W33" s="6">
        <v>0.00709098699383911</v>
      </c>
      <c r="X33" s="6">
        <v>0.952190457139046</v>
      </c>
      <c r="Y33" s="6">
        <v>0.581186525805423</v>
      </c>
    </row>
    <row r="34">
      <c r="A34" s="4"/>
      <c r="B34" s="4"/>
      <c r="C34" s="5" t="s">
        <v>27</v>
      </c>
      <c r="D34" s="6">
        <v>0.919333333333333</v>
      </c>
      <c r="E34" s="6">
        <v>0.950661914575858</v>
      </c>
      <c r="F34" s="6">
        <v>0.882332496413234</v>
      </c>
      <c r="G34" s="6">
        <v>0.858241474443802</v>
      </c>
      <c r="H34" s="6">
        <v>0.910533291261416</v>
      </c>
      <c r="I34" s="6">
        <v>0.880293391356061</v>
      </c>
      <c r="J34" s="7">
        <v>6.06666666666666</v>
      </c>
      <c r="K34" s="7">
        <v>2.0</v>
      </c>
      <c r="L34" s="8">
        <v>58.6</v>
      </c>
      <c r="M34" s="8">
        <v>241.4</v>
      </c>
      <c r="N34" s="8">
        <f t="shared" si="4"/>
        <v>300</v>
      </c>
      <c r="O34" s="8">
        <v>234.6</v>
      </c>
      <c r="P34" s="8">
        <v>965.4</v>
      </c>
      <c r="Q34" s="8">
        <f t="shared" si="5"/>
        <v>1200</v>
      </c>
      <c r="R34" s="6">
        <v>0.0118133634311129</v>
      </c>
      <c r="S34" s="6">
        <v>0.0108687664866602</v>
      </c>
      <c r="T34" s="6">
        <v>0.0264964183523126</v>
      </c>
      <c r="U34" s="6">
        <v>0.0203799515966631</v>
      </c>
      <c r="V34" s="6">
        <v>0.0181501071609266</v>
      </c>
      <c r="W34" s="6">
        <v>0.0193805753679717</v>
      </c>
      <c r="X34" s="6">
        <v>0.879393730551527</v>
      </c>
      <c r="Y34" s="6">
        <v>0.557773351022717</v>
      </c>
    </row>
    <row r="35">
      <c r="A35" s="4"/>
      <c r="B35" s="4"/>
      <c r="C35" s="5" t="s">
        <v>28</v>
      </c>
      <c r="D35" s="6">
        <v>0.841333333333333</v>
      </c>
      <c r="E35" s="6">
        <v>0.827520113267064</v>
      </c>
      <c r="F35" s="6">
        <v>0.728909746172362</v>
      </c>
      <c r="G35" s="6">
        <v>0.693094296270844</v>
      </c>
      <c r="H35" s="6">
        <v>0.707723499418031</v>
      </c>
      <c r="I35" s="6">
        <v>0.698631484189185</v>
      </c>
      <c r="J35" s="7">
        <v>8.66666666666666</v>
      </c>
      <c r="K35" s="7">
        <v>7.2</v>
      </c>
      <c r="L35" s="8">
        <v>45.0</v>
      </c>
      <c r="M35" s="8">
        <v>255.0</v>
      </c>
      <c r="N35" s="8">
        <f t="shared" si="4"/>
        <v>300</v>
      </c>
      <c r="O35" s="8">
        <v>194.4</v>
      </c>
      <c r="P35" s="8">
        <v>1005.6</v>
      </c>
      <c r="Q35" s="8">
        <f t="shared" si="5"/>
        <v>1200</v>
      </c>
      <c r="R35" s="6">
        <v>0.0154344492037203</v>
      </c>
      <c r="S35" s="6">
        <v>0.0148298992903613</v>
      </c>
      <c r="T35" s="6">
        <v>0.0103127905103282</v>
      </c>
      <c r="U35" s="6">
        <v>0.0136171259952309</v>
      </c>
      <c r="V35" s="6">
        <v>0.025086378883377</v>
      </c>
      <c r="W35" s="6">
        <v>0.0163644149257614</v>
      </c>
      <c r="X35" s="6">
        <v>1.59164485150844</v>
      </c>
      <c r="Y35" s="6">
        <v>1.20369800568451</v>
      </c>
    </row>
    <row r="36">
      <c r="A36" s="4"/>
      <c r="B36" s="4"/>
      <c r="C36" s="5" t="s">
        <v>29</v>
      </c>
      <c r="D36" s="6">
        <v>0.902666666666666</v>
      </c>
      <c r="E36" s="6">
        <v>0.941323037439201</v>
      </c>
      <c r="F36" s="6">
        <v>0.929588958375315</v>
      </c>
      <c r="G36" s="6">
        <v>0.891020909340264</v>
      </c>
      <c r="H36" s="6">
        <v>0.89906161188361</v>
      </c>
      <c r="I36" s="6">
        <v>0.894219074865883</v>
      </c>
      <c r="J36" s="7">
        <v>5.86666666666666</v>
      </c>
      <c r="K36" s="7">
        <v>3.86666666666666</v>
      </c>
      <c r="L36" s="8">
        <v>104.6</v>
      </c>
      <c r="M36" s="8">
        <v>195.4</v>
      </c>
      <c r="N36" s="8">
        <f t="shared" si="4"/>
        <v>300</v>
      </c>
      <c r="O36" s="8">
        <v>397.6</v>
      </c>
      <c r="P36" s="8">
        <v>802.4</v>
      </c>
      <c r="Q36" s="8">
        <f t="shared" si="5"/>
        <v>1200</v>
      </c>
      <c r="R36" s="6">
        <v>0.0154056266777217</v>
      </c>
      <c r="S36" s="6">
        <v>0.00877017845846425</v>
      </c>
      <c r="T36" s="6">
        <v>0.0103824710626676</v>
      </c>
      <c r="U36" s="6">
        <v>0.0170017558710134</v>
      </c>
      <c r="V36" s="6">
        <v>0.0133517830541529</v>
      </c>
      <c r="W36" s="6">
        <v>0.0153681759765785</v>
      </c>
      <c r="X36" s="6">
        <v>1.61382912492136</v>
      </c>
      <c r="Y36" s="6">
        <v>0.77746025264604</v>
      </c>
    </row>
    <row r="37">
      <c r="C37" s="5" t="s">
        <v>30</v>
      </c>
      <c r="D37" s="6">
        <v>0.897333333333333</v>
      </c>
      <c r="E37" s="6">
        <v>0.927960250331734</v>
      </c>
      <c r="F37" s="6">
        <v>0.842604689876337</v>
      </c>
      <c r="G37" s="6">
        <v>0.831481732742124</v>
      </c>
      <c r="H37" s="6">
        <v>0.852869399341687</v>
      </c>
      <c r="I37" s="6">
        <v>0.840223410641245</v>
      </c>
      <c r="J37" s="7">
        <v>6.0</v>
      </c>
      <c r="K37" s="7">
        <v>4.26666666666666</v>
      </c>
      <c r="L37" s="8">
        <v>57.6</v>
      </c>
      <c r="M37" s="8">
        <v>242.4</v>
      </c>
      <c r="N37" s="8">
        <f t="shared" si="4"/>
        <v>300</v>
      </c>
      <c r="O37" s="8">
        <v>224.8</v>
      </c>
      <c r="P37" s="8">
        <v>975.2</v>
      </c>
      <c r="Q37" s="8">
        <f t="shared" si="5"/>
        <v>1200</v>
      </c>
      <c r="R37" s="6">
        <v>0.0123648246606609</v>
      </c>
      <c r="S37" s="6">
        <v>0.0218791946743572</v>
      </c>
      <c r="T37" s="6">
        <v>0.0358039560281709</v>
      </c>
      <c r="U37" s="6">
        <v>0.0164518971314327</v>
      </c>
      <c r="V37" s="6">
        <v>0.0246498342963742</v>
      </c>
      <c r="W37" s="6">
        <v>0.0152680004900758</v>
      </c>
      <c r="X37" s="6">
        <v>1.28235893744475</v>
      </c>
      <c r="Y37" s="6">
        <v>1.32329554941861</v>
      </c>
    </row>
    <row r="38">
      <c r="A38" s="1"/>
      <c r="B38" s="1"/>
      <c r="C38" s="5" t="s">
        <v>31</v>
      </c>
      <c r="D38" s="6">
        <f t="shared" ref="D38:K38" si="6">MEDIAN(D23:D37)</f>
        <v>0.9193333333</v>
      </c>
      <c r="E38" s="6">
        <f t="shared" si="6"/>
        <v>0.941530628</v>
      </c>
      <c r="F38" s="6">
        <f t="shared" si="6"/>
        <v>0.8426046899</v>
      </c>
      <c r="G38" s="6">
        <f t="shared" si="6"/>
        <v>0.8314817327</v>
      </c>
      <c r="H38" s="6">
        <f t="shared" si="6"/>
        <v>0.8748484274</v>
      </c>
      <c r="I38" s="6">
        <f t="shared" si="6"/>
        <v>0.8402234106</v>
      </c>
      <c r="J38" s="7">
        <f t="shared" si="6"/>
        <v>4.266666667</v>
      </c>
      <c r="K38" s="7">
        <f t="shared" si="6"/>
        <v>3.866666667</v>
      </c>
    </row>
    <row r="39">
      <c r="A39" s="1"/>
      <c r="B39" s="1"/>
      <c r="C39" s="2" t="s">
        <v>33</v>
      </c>
    </row>
    <row r="40">
      <c r="A40" s="1"/>
      <c r="B40" s="1"/>
      <c r="C40" s="2"/>
    </row>
    <row r="41">
      <c r="A41" s="1"/>
      <c r="B41" s="1"/>
      <c r="C41" s="3" t="s">
        <v>1</v>
      </c>
      <c r="D41" s="3" t="s">
        <v>2</v>
      </c>
      <c r="E41" s="3" t="s">
        <v>3</v>
      </c>
      <c r="F41" s="3" t="s">
        <v>4</v>
      </c>
      <c r="G41" s="3" t="s">
        <v>5</v>
      </c>
      <c r="H41" s="3" t="s">
        <v>6</v>
      </c>
      <c r="I41" s="3" t="s">
        <v>7</v>
      </c>
      <c r="J41" s="3" t="s">
        <v>8</v>
      </c>
      <c r="K41" s="3" t="s">
        <v>9</v>
      </c>
      <c r="L41" s="3" t="s">
        <v>10</v>
      </c>
      <c r="M41" s="3" t="s">
        <v>11</v>
      </c>
      <c r="N41" s="3" t="s">
        <v>12</v>
      </c>
      <c r="O41" s="3" t="s">
        <v>13</v>
      </c>
      <c r="P41" s="3" t="s">
        <v>14</v>
      </c>
      <c r="Q41" s="3" t="s">
        <v>15</v>
      </c>
      <c r="R41" s="3" t="s">
        <v>2</v>
      </c>
      <c r="S41" s="3" t="s">
        <v>3</v>
      </c>
      <c r="T41" s="3" t="s">
        <v>4</v>
      </c>
      <c r="U41" s="3" t="s">
        <v>5</v>
      </c>
      <c r="V41" s="3" t="s">
        <v>6</v>
      </c>
      <c r="W41" s="3" t="s">
        <v>7</v>
      </c>
      <c r="X41" s="3" t="s">
        <v>8</v>
      </c>
      <c r="Y41" s="3" t="s">
        <v>9</v>
      </c>
    </row>
    <row r="42">
      <c r="A42" s="4"/>
      <c r="B42" s="4"/>
      <c r="C42" s="5" t="s">
        <v>16</v>
      </c>
      <c r="D42" s="6">
        <v>0.759548229548229</v>
      </c>
      <c r="E42" s="6">
        <v>0.856966155706495</v>
      </c>
      <c r="F42" s="6">
        <v>0.819605171106988</v>
      </c>
      <c r="G42" s="6">
        <v>0.743144598823886</v>
      </c>
      <c r="H42" s="6">
        <v>0.717122574211453</v>
      </c>
      <c r="I42" s="6">
        <v>0.721338639793005</v>
      </c>
      <c r="J42" s="7">
        <v>15.6964951383864</v>
      </c>
      <c r="K42" s="7">
        <v>8.34868190679061</v>
      </c>
      <c r="L42" s="8">
        <v>87.0</v>
      </c>
      <c r="M42" s="8">
        <v>47.4</v>
      </c>
      <c r="N42" s="8">
        <f t="shared" ref="N42:N56" si="7">L42+M42</f>
        <v>134.4</v>
      </c>
      <c r="O42" s="8">
        <v>874.8</v>
      </c>
      <c r="P42" s="8">
        <v>325.2</v>
      </c>
      <c r="Q42" s="8">
        <f t="shared" ref="Q42:Q56" si="8">O42+P42</f>
        <v>1200</v>
      </c>
      <c r="R42" s="6">
        <v>0.0351691840269908</v>
      </c>
      <c r="S42" s="6">
        <v>0.0236500825294245</v>
      </c>
      <c r="T42" s="6">
        <v>0.0246992115096946</v>
      </c>
      <c r="U42" s="6">
        <v>0.0204477834047944</v>
      </c>
      <c r="V42" s="6">
        <v>0.0407116323097924</v>
      </c>
      <c r="W42" s="6">
        <v>0.0384241798011371</v>
      </c>
      <c r="X42" s="6">
        <v>4.84610335042985</v>
      </c>
      <c r="Y42" s="6">
        <v>1.39826893142398</v>
      </c>
    </row>
    <row r="43">
      <c r="A43" s="4"/>
      <c r="B43" s="4"/>
      <c r="C43" s="5" t="s">
        <v>17</v>
      </c>
      <c r="D43" s="6">
        <v>0.887070375838449</v>
      </c>
      <c r="E43" s="6">
        <v>0.760569870512483</v>
      </c>
      <c r="F43" s="6">
        <v>0.674382870289271</v>
      </c>
      <c r="G43" s="6">
        <v>0.708041038583931</v>
      </c>
      <c r="H43" s="6">
        <v>0.647874397718063</v>
      </c>
      <c r="I43" s="6">
        <v>0.665110894934312</v>
      </c>
      <c r="J43" s="7">
        <v>4.31220764963448</v>
      </c>
      <c r="K43" s="7">
        <v>6.98075476652059</v>
      </c>
      <c r="L43" s="8">
        <v>13.8</v>
      </c>
      <c r="M43" s="8">
        <v>116.4</v>
      </c>
      <c r="N43" s="8">
        <f t="shared" si="7"/>
        <v>130.2</v>
      </c>
      <c r="O43" s="8">
        <v>58.6</v>
      </c>
      <c r="P43" s="8">
        <v>1141.4</v>
      </c>
      <c r="Q43" s="8">
        <f t="shared" si="8"/>
        <v>1200</v>
      </c>
      <c r="R43" s="6">
        <v>0.0228180889053877</v>
      </c>
      <c r="S43" s="6">
        <v>0.0652202285176673</v>
      </c>
      <c r="T43" s="6">
        <v>0.0608614184061181</v>
      </c>
      <c r="U43" s="6">
        <v>0.074559805573816</v>
      </c>
      <c r="V43" s="6">
        <v>0.0458029842155558</v>
      </c>
      <c r="W43" s="6">
        <v>0.0543033222381544</v>
      </c>
      <c r="X43" s="6">
        <v>2.30646941772117</v>
      </c>
      <c r="Y43" s="6">
        <v>1.3362615404265</v>
      </c>
    </row>
    <row r="44">
      <c r="C44" s="5" t="s">
        <v>18</v>
      </c>
      <c r="D44" s="6">
        <v>0.809854433485839</v>
      </c>
      <c r="E44" s="6">
        <v>0.818506533112767</v>
      </c>
      <c r="F44" s="6">
        <v>0.716548718437082</v>
      </c>
      <c r="G44" s="6">
        <v>0.690728087827195</v>
      </c>
      <c r="H44" s="6">
        <v>0.692603198360842</v>
      </c>
      <c r="I44" s="6">
        <v>0.686981990346842</v>
      </c>
      <c r="J44" s="7">
        <v>9.712410488599</v>
      </c>
      <c r="K44" s="7">
        <v>9.30214616281708</v>
      </c>
      <c r="L44" s="8">
        <v>22.4</v>
      </c>
      <c r="M44" s="8">
        <v>98.0</v>
      </c>
      <c r="N44" s="8">
        <f t="shared" si="7"/>
        <v>120.4</v>
      </c>
      <c r="O44" s="8">
        <v>149.2</v>
      </c>
      <c r="P44" s="8">
        <v>1035.6</v>
      </c>
      <c r="Q44" s="8">
        <f t="shared" si="8"/>
        <v>1184.8</v>
      </c>
      <c r="R44" s="6">
        <v>0.0224227581449564</v>
      </c>
      <c r="S44" s="6">
        <v>0.0337276582469417</v>
      </c>
      <c r="T44" s="6">
        <v>0.0320783619371738</v>
      </c>
      <c r="U44" s="6">
        <v>0.0478823914339347</v>
      </c>
      <c r="V44" s="6">
        <v>0.0423001616387325</v>
      </c>
      <c r="W44" s="6">
        <v>0.0416458329247629</v>
      </c>
      <c r="X44" s="6">
        <v>2.95412958225308</v>
      </c>
      <c r="Y44" s="6">
        <v>2.40008300682375</v>
      </c>
    </row>
    <row r="45">
      <c r="C45" s="5" t="s">
        <v>19</v>
      </c>
      <c r="D45" s="6">
        <v>0.93789318437402</v>
      </c>
      <c r="E45" s="6">
        <v>0.978740259740259</v>
      </c>
      <c r="F45" s="6">
        <v>0.883414612323703</v>
      </c>
      <c r="G45" s="6">
        <v>0.822031113520677</v>
      </c>
      <c r="H45" s="6">
        <v>0.813489177489177</v>
      </c>
      <c r="I45" s="6">
        <v>0.813651104464885</v>
      </c>
      <c r="J45" s="7">
        <v>2.65258189996865</v>
      </c>
      <c r="K45" s="7">
        <v>3.55809966262927</v>
      </c>
      <c r="L45" s="8">
        <v>4.6</v>
      </c>
      <c r="M45" s="8">
        <v>40.2</v>
      </c>
      <c r="N45" s="8">
        <f t="shared" si="7"/>
        <v>44.8</v>
      </c>
      <c r="O45" s="8">
        <v>50.4</v>
      </c>
      <c r="P45" s="8">
        <v>1149.6</v>
      </c>
      <c r="Q45" s="8">
        <f t="shared" si="8"/>
        <v>1200</v>
      </c>
      <c r="R45" s="6">
        <v>0.0255180153784624</v>
      </c>
      <c r="S45" s="6">
        <v>0.00970788655742807</v>
      </c>
      <c r="T45" s="6">
        <v>0.0751997105446568</v>
      </c>
      <c r="U45" s="6">
        <v>0.0946343948123385</v>
      </c>
      <c r="V45" s="6">
        <v>0.129138529081792</v>
      </c>
      <c r="W45" s="6">
        <v>0.10770503272953</v>
      </c>
      <c r="X45" s="6">
        <v>0.591908035174565</v>
      </c>
      <c r="Y45" s="6">
        <v>2.13660748852386</v>
      </c>
    </row>
    <row r="46">
      <c r="A46" s="4"/>
      <c r="B46" s="4"/>
      <c r="C46" s="5" t="s">
        <v>20</v>
      </c>
      <c r="D46" s="6">
        <v>0.841907298352411</v>
      </c>
      <c r="E46" s="6">
        <v>0.864951095922465</v>
      </c>
      <c r="F46" s="6">
        <v>0.755989988408174</v>
      </c>
      <c r="G46" s="6">
        <v>0.722964254408158</v>
      </c>
      <c r="H46" s="6">
        <v>0.808643731818452</v>
      </c>
      <c r="I46" s="6">
        <v>0.747289015650371</v>
      </c>
      <c r="J46" s="7">
        <v>11.942672220152</v>
      </c>
      <c r="K46" s="7">
        <v>3.86659794460676</v>
      </c>
      <c r="L46" s="8">
        <v>20.8</v>
      </c>
      <c r="M46" s="8">
        <v>114.4</v>
      </c>
      <c r="N46" s="8">
        <f t="shared" si="7"/>
        <v>135.2</v>
      </c>
      <c r="O46" s="8">
        <v>378.2</v>
      </c>
      <c r="P46" s="8">
        <v>758.2</v>
      </c>
      <c r="Q46" s="8">
        <f t="shared" si="8"/>
        <v>1136.4</v>
      </c>
      <c r="R46" s="6">
        <v>0.0115440636422768</v>
      </c>
      <c r="S46" s="6">
        <v>0.0250397921151701</v>
      </c>
      <c r="T46" s="6">
        <v>0.0259012121739085</v>
      </c>
      <c r="U46" s="6">
        <v>0.0150499415002973</v>
      </c>
      <c r="V46" s="6">
        <v>0.0348750321578112</v>
      </c>
      <c r="W46" s="6">
        <v>0.0101976770917945</v>
      </c>
      <c r="X46" s="6">
        <v>2.48073785035551</v>
      </c>
      <c r="Y46" s="6">
        <v>1.97362103954273</v>
      </c>
    </row>
    <row r="47">
      <c r="C47" s="5" t="s">
        <v>21</v>
      </c>
      <c r="D47" s="6">
        <v>0.86495683522585</v>
      </c>
      <c r="E47" s="6">
        <v>0.90939098055924</v>
      </c>
      <c r="F47" s="6">
        <v>0.849064052737409</v>
      </c>
      <c r="G47" s="6">
        <v>0.798138702619708</v>
      </c>
      <c r="H47" s="6">
        <v>0.800913363389539</v>
      </c>
      <c r="I47" s="6">
        <v>0.799105351556412</v>
      </c>
      <c r="J47" s="7">
        <v>6.85831244662587</v>
      </c>
      <c r="K47" s="7">
        <v>6.64600403078904</v>
      </c>
      <c r="L47" s="8">
        <v>59.4</v>
      </c>
      <c r="M47" s="8">
        <v>220.2</v>
      </c>
      <c r="N47" s="8">
        <f t="shared" si="7"/>
        <v>279.6</v>
      </c>
      <c r="O47" s="8">
        <v>91.4</v>
      </c>
      <c r="P47" s="8">
        <v>1108.6</v>
      </c>
      <c r="Q47" s="8">
        <f t="shared" si="8"/>
        <v>1200</v>
      </c>
      <c r="R47" s="6">
        <v>0.0163294813291763</v>
      </c>
      <c r="S47" s="6">
        <v>0.0192262942443135</v>
      </c>
      <c r="T47" s="6">
        <v>0.0190903244440905</v>
      </c>
      <c r="U47" s="6">
        <v>0.0143727351340701</v>
      </c>
      <c r="V47" s="6">
        <v>0.0149433212556482</v>
      </c>
      <c r="W47" s="6">
        <v>0.0133473559940182</v>
      </c>
      <c r="X47" s="6">
        <v>0.976643765280617</v>
      </c>
      <c r="Y47" s="6">
        <v>1.21729035350058</v>
      </c>
    </row>
    <row r="48">
      <c r="C48" s="5" t="s">
        <v>22</v>
      </c>
      <c r="D48" s="6">
        <v>0.907598018013293</v>
      </c>
      <c r="E48" s="6">
        <v>0.913724131077457</v>
      </c>
      <c r="F48" s="6">
        <v>0.804280497193995</v>
      </c>
      <c r="G48" s="6">
        <v>0.717623935318616</v>
      </c>
      <c r="H48" s="6">
        <v>0.868691837016547</v>
      </c>
      <c r="I48" s="6">
        <v>0.765200501219249</v>
      </c>
      <c r="J48" s="7">
        <v>7.84209437770154</v>
      </c>
      <c r="K48" s="7">
        <v>1.39810382096914</v>
      </c>
      <c r="L48" s="8">
        <v>13.2</v>
      </c>
      <c r="M48" s="8">
        <v>154.6</v>
      </c>
      <c r="N48" s="8">
        <f t="shared" si="7"/>
        <v>167.8</v>
      </c>
      <c r="O48" s="8">
        <v>92.0</v>
      </c>
      <c r="P48" s="8">
        <v>1108.0</v>
      </c>
      <c r="Q48" s="8">
        <f t="shared" si="8"/>
        <v>1200</v>
      </c>
      <c r="R48" s="6">
        <v>0.0123999774423376</v>
      </c>
      <c r="S48" s="6">
        <v>0.0332209382155447</v>
      </c>
      <c r="T48" s="6">
        <v>0.0812599513337493</v>
      </c>
      <c r="U48" s="6">
        <v>0.00762869473547782</v>
      </c>
      <c r="V48" s="6">
        <v>0.0272076522038989</v>
      </c>
      <c r="W48" s="6">
        <v>0.0116635827200094</v>
      </c>
      <c r="X48" s="6">
        <v>1.09546470289787</v>
      </c>
      <c r="Y48" s="6">
        <v>0.513395978300861</v>
      </c>
    </row>
    <row r="49">
      <c r="C49" s="5" t="s">
        <v>23</v>
      </c>
      <c r="D49" s="6">
        <v>0.610750359985719</v>
      </c>
      <c r="E49" s="6">
        <v>0.491368204324909</v>
      </c>
      <c r="F49" s="6">
        <v>0.509911932794783</v>
      </c>
      <c r="G49" s="6">
        <v>0.537329846235126</v>
      </c>
      <c r="H49" s="6">
        <v>0.513583181208685</v>
      </c>
      <c r="I49" s="6">
        <v>0.468318233289464</v>
      </c>
      <c r="J49" s="7">
        <v>6.03085200970431</v>
      </c>
      <c r="K49" s="7">
        <v>32.8941119917237</v>
      </c>
      <c r="L49" s="8">
        <v>73.6</v>
      </c>
      <c r="M49" s="8">
        <v>122.0</v>
      </c>
      <c r="N49" s="8">
        <f t="shared" si="7"/>
        <v>195.6</v>
      </c>
      <c r="O49" s="8">
        <v>58.8</v>
      </c>
      <c r="P49" s="8">
        <v>1080.0</v>
      </c>
      <c r="Q49" s="8">
        <f t="shared" si="8"/>
        <v>1138.8</v>
      </c>
      <c r="R49" s="6">
        <v>0.0361151735041802</v>
      </c>
      <c r="S49" s="6">
        <v>0.0375744664845122</v>
      </c>
      <c r="T49" s="6">
        <v>0.0187935925994196</v>
      </c>
      <c r="U49" s="6">
        <v>0.0388518748284029</v>
      </c>
      <c r="V49" s="6">
        <v>0.0144701845648482</v>
      </c>
      <c r="W49" s="6">
        <v>0.0183177564531114</v>
      </c>
      <c r="X49" s="6">
        <v>1.58124550034158</v>
      </c>
      <c r="Y49" s="6">
        <v>2.31873009883416</v>
      </c>
    </row>
    <row r="50">
      <c r="A50" s="4"/>
      <c r="B50" s="4"/>
      <c r="C50" s="5" t="s">
        <v>24</v>
      </c>
      <c r="D50" s="6">
        <v>0.903825779787318</v>
      </c>
      <c r="E50" s="6">
        <v>0.900068297806388</v>
      </c>
      <c r="F50" s="6">
        <v>0.820843736798178</v>
      </c>
      <c r="G50" s="6">
        <v>0.798987484022929</v>
      </c>
      <c r="H50" s="6">
        <v>0.827877854343971</v>
      </c>
      <c r="I50" s="6">
        <v>0.810365320136244</v>
      </c>
      <c r="J50" s="7">
        <v>5.53205572436341</v>
      </c>
      <c r="K50" s="7">
        <v>4.08536629690475</v>
      </c>
      <c r="L50" s="8">
        <v>25.2</v>
      </c>
      <c r="M50" s="8">
        <v>152.0</v>
      </c>
      <c r="N50" s="8">
        <f t="shared" si="7"/>
        <v>177.2</v>
      </c>
      <c r="O50" s="8">
        <v>109.2</v>
      </c>
      <c r="P50" s="8">
        <v>1090.8</v>
      </c>
      <c r="Q50" s="8">
        <f t="shared" si="8"/>
        <v>1200</v>
      </c>
      <c r="R50" s="6">
        <v>0.0323585285231958</v>
      </c>
      <c r="S50" s="6">
        <v>0.0277929203358458</v>
      </c>
      <c r="T50" s="6">
        <v>0.036842458968227</v>
      </c>
      <c r="U50" s="6">
        <v>0.0446754717206529</v>
      </c>
      <c r="V50" s="6">
        <v>0.0746089909863155</v>
      </c>
      <c r="W50" s="6">
        <v>0.0549979952617693</v>
      </c>
      <c r="X50" s="6">
        <v>1.39684138229472</v>
      </c>
      <c r="Y50" s="6">
        <v>2.30945040799461</v>
      </c>
    </row>
    <row r="51">
      <c r="A51" s="4"/>
      <c r="B51" s="4"/>
      <c r="C51" s="5" t="s">
        <v>25</v>
      </c>
      <c r="D51" s="6">
        <v>0.816334015179917</v>
      </c>
      <c r="E51" s="6">
        <v>0.897689892599178</v>
      </c>
      <c r="F51" s="6">
        <v>0.890171089235901</v>
      </c>
      <c r="G51" s="6">
        <v>0.820856390868511</v>
      </c>
      <c r="H51" s="6">
        <v>0.822345078422291</v>
      </c>
      <c r="I51" s="6">
        <v>0.815721111961877</v>
      </c>
      <c r="J51" s="7">
        <v>5.50925312099781</v>
      </c>
      <c r="K51" s="7">
        <v>12.8573453610103</v>
      </c>
      <c r="L51" s="8">
        <v>91.6</v>
      </c>
      <c r="M51" s="8">
        <v>73.4</v>
      </c>
      <c r="N51" s="8">
        <f t="shared" si="7"/>
        <v>165</v>
      </c>
      <c r="O51" s="8">
        <v>537.4</v>
      </c>
      <c r="P51" s="8">
        <v>662.6</v>
      </c>
      <c r="Q51" s="8">
        <f t="shared" si="8"/>
        <v>1200</v>
      </c>
      <c r="R51" s="6">
        <v>0.0205036438310359</v>
      </c>
      <c r="S51" s="6">
        <v>0.0123964560913794</v>
      </c>
      <c r="T51" s="6">
        <v>0.0103707242236317</v>
      </c>
      <c r="U51" s="6">
        <v>0.0196408751076322</v>
      </c>
      <c r="V51" s="6">
        <v>0.0218545629660648</v>
      </c>
      <c r="W51" s="6">
        <v>0.0206427702594444</v>
      </c>
      <c r="X51" s="6">
        <v>2.3830985336811</v>
      </c>
      <c r="Y51" s="6">
        <v>2.25351922235915</v>
      </c>
    </row>
    <row r="52">
      <c r="A52" s="4"/>
      <c r="B52" s="4"/>
      <c r="C52" s="5" t="s">
        <v>26</v>
      </c>
      <c r="D52" s="6">
        <v>0.815273508121279</v>
      </c>
      <c r="E52" s="6">
        <v>0.949778399121015</v>
      </c>
      <c r="F52" s="6">
        <v>0.91844395443997</v>
      </c>
      <c r="G52" s="6">
        <v>0.8360904476578</v>
      </c>
      <c r="H52" s="6">
        <v>0.720201083526117</v>
      </c>
      <c r="I52" s="6">
        <v>0.741026992393718</v>
      </c>
      <c r="J52" s="7">
        <v>16.2568519947692</v>
      </c>
      <c r="K52" s="7">
        <v>2.2157971931028</v>
      </c>
      <c r="L52" s="8">
        <v>100.4</v>
      </c>
      <c r="M52" s="8">
        <v>45.0</v>
      </c>
      <c r="N52" s="8">
        <f t="shared" si="7"/>
        <v>145.4</v>
      </c>
      <c r="O52" s="8">
        <v>884.0</v>
      </c>
      <c r="P52" s="8">
        <v>316.0</v>
      </c>
      <c r="Q52" s="8">
        <f t="shared" si="8"/>
        <v>1200</v>
      </c>
      <c r="R52" s="6">
        <v>0.028811928841657</v>
      </c>
      <c r="S52" s="6">
        <v>0.00942017211595441</v>
      </c>
      <c r="T52" s="6">
        <v>0.0112205332420893</v>
      </c>
      <c r="U52" s="6">
        <v>0.0198387988812441</v>
      </c>
      <c r="V52" s="6">
        <v>0.0530437983321158</v>
      </c>
      <c r="W52" s="6">
        <v>0.0605965828766203</v>
      </c>
      <c r="X52" s="6">
        <v>3.25574367242033</v>
      </c>
      <c r="Y52" s="6">
        <v>0.577572818907132</v>
      </c>
    </row>
    <row r="53">
      <c r="A53" s="4"/>
      <c r="B53" s="4"/>
      <c r="C53" s="5" t="s">
        <v>27</v>
      </c>
      <c r="D53" s="6">
        <v>0.87148971298894</v>
      </c>
      <c r="E53" s="6">
        <v>0.923460924947029</v>
      </c>
      <c r="F53" s="6">
        <v>0.915633096709707</v>
      </c>
      <c r="G53" s="6">
        <v>0.870163991897495</v>
      </c>
      <c r="H53" s="6">
        <v>0.874062300675675</v>
      </c>
      <c r="I53" s="6">
        <v>0.870136806910935</v>
      </c>
      <c r="J53" s="7">
        <v>7.50614533732391</v>
      </c>
      <c r="K53" s="7">
        <v>5.34488336378206</v>
      </c>
      <c r="L53" s="8">
        <v>42.0</v>
      </c>
      <c r="M53" s="8">
        <v>49.8</v>
      </c>
      <c r="N53" s="8">
        <f t="shared" si="7"/>
        <v>91.8</v>
      </c>
      <c r="O53" s="8">
        <v>234.6</v>
      </c>
      <c r="P53" s="8">
        <v>965.4</v>
      </c>
      <c r="Q53" s="8">
        <f t="shared" si="8"/>
        <v>1200</v>
      </c>
      <c r="R53" s="6">
        <v>0.0253035199530029</v>
      </c>
      <c r="S53" s="6">
        <v>0.0131778344331354</v>
      </c>
      <c r="T53" s="6">
        <v>0.0194198371755858</v>
      </c>
      <c r="U53" s="6">
        <v>0.0249637473982525</v>
      </c>
      <c r="V53" s="6">
        <v>0.0283748001765819</v>
      </c>
      <c r="W53" s="6">
        <v>0.0253568083595049</v>
      </c>
      <c r="X53" s="6">
        <v>2.53123618256882</v>
      </c>
      <c r="Y53" s="6">
        <v>2.2619889453679</v>
      </c>
    </row>
    <row r="54">
      <c r="A54" s="4"/>
      <c r="B54" s="4"/>
      <c r="C54" s="5" t="s">
        <v>28</v>
      </c>
      <c r="D54" s="6">
        <v>0.729041904530285</v>
      </c>
      <c r="E54" s="6">
        <v>0.760345117536536</v>
      </c>
      <c r="F54" s="6">
        <v>0.742747864630351</v>
      </c>
      <c r="G54" s="6">
        <v>0.702613114794388</v>
      </c>
      <c r="H54" s="6">
        <v>0.699951292827061</v>
      </c>
      <c r="I54" s="6">
        <v>0.701012619515337</v>
      </c>
      <c r="J54" s="7">
        <v>13.1263492255319</v>
      </c>
      <c r="K54" s="7">
        <v>13.9694603214395</v>
      </c>
      <c r="L54" s="8">
        <v>45.6</v>
      </c>
      <c r="M54" s="8">
        <v>83.6</v>
      </c>
      <c r="N54" s="8">
        <f t="shared" si="7"/>
        <v>129.2</v>
      </c>
      <c r="O54" s="8">
        <v>194.4</v>
      </c>
      <c r="P54" s="8">
        <v>1005.6</v>
      </c>
      <c r="Q54" s="8">
        <f t="shared" si="8"/>
        <v>1200</v>
      </c>
      <c r="R54" s="6">
        <v>0.0159797831241203</v>
      </c>
      <c r="S54" s="6">
        <v>0.0343256821260768</v>
      </c>
      <c r="T54" s="6">
        <v>0.0291783959771279</v>
      </c>
      <c r="U54" s="6">
        <v>0.0103092288163077</v>
      </c>
      <c r="V54" s="6">
        <v>0.0104754374028544</v>
      </c>
      <c r="W54" s="6">
        <v>0.0100232724004856</v>
      </c>
      <c r="X54" s="6">
        <v>1.1829361807623</v>
      </c>
      <c r="Y54" s="6">
        <v>0.988584485438127</v>
      </c>
    </row>
    <row r="55">
      <c r="A55" s="4"/>
      <c r="B55" s="4"/>
      <c r="C55" s="5" t="s">
        <v>29</v>
      </c>
      <c r="D55" s="6">
        <v>0.930435870925613</v>
      </c>
      <c r="E55" s="6">
        <v>0.955469452603778</v>
      </c>
      <c r="F55" s="6">
        <v>0.945674150206414</v>
      </c>
      <c r="G55" s="6">
        <v>0.930163001893039</v>
      </c>
      <c r="H55" s="6">
        <v>0.925232795277673</v>
      </c>
      <c r="I55" s="6">
        <v>0.926624866512056</v>
      </c>
      <c r="J55" s="7">
        <v>2.78309843826522</v>
      </c>
      <c r="K55" s="7">
        <v>4.17331446917342</v>
      </c>
      <c r="L55" s="8">
        <v>37.6</v>
      </c>
      <c r="M55" s="8">
        <v>57.4</v>
      </c>
      <c r="N55" s="8">
        <f t="shared" si="7"/>
        <v>95</v>
      </c>
      <c r="O55" s="8">
        <v>397.6</v>
      </c>
      <c r="P55" s="8">
        <v>802.4</v>
      </c>
      <c r="Q55" s="8">
        <f t="shared" si="8"/>
        <v>1200</v>
      </c>
      <c r="R55" s="6">
        <v>0.013523934786671</v>
      </c>
      <c r="S55" s="6">
        <v>0.0144236237656377</v>
      </c>
      <c r="T55" s="6">
        <v>0.0168652022848201</v>
      </c>
      <c r="U55" s="6">
        <v>0.016928649219819</v>
      </c>
      <c r="V55" s="6">
        <v>0.010858782542659</v>
      </c>
      <c r="W55" s="6">
        <v>0.0129541740933341</v>
      </c>
      <c r="X55" s="6">
        <v>1.76000783508694</v>
      </c>
      <c r="Y55" s="6">
        <v>1.36753516266766</v>
      </c>
    </row>
    <row r="56">
      <c r="C56" s="5" t="s">
        <v>30</v>
      </c>
      <c r="D56" s="6">
        <v>0.844178176211958</v>
      </c>
      <c r="E56" s="6">
        <v>0.829076776409101</v>
      </c>
      <c r="F56" s="6">
        <v>0.61425245935839</v>
      </c>
      <c r="G56" s="6">
        <v>0.570504900845547</v>
      </c>
      <c r="H56" s="6">
        <v>0.797391092150575</v>
      </c>
      <c r="I56" s="6">
        <v>0.581664893623885</v>
      </c>
      <c r="J56" s="7">
        <v>14.6628660025727</v>
      </c>
      <c r="K56" s="7">
        <v>0.919316376231406</v>
      </c>
      <c r="L56" s="8">
        <v>3.8</v>
      </c>
      <c r="M56" s="8">
        <v>105.2</v>
      </c>
      <c r="N56" s="8">
        <f t="shared" si="7"/>
        <v>109</v>
      </c>
      <c r="O56" s="8">
        <v>224.8</v>
      </c>
      <c r="P56" s="8">
        <v>975.2</v>
      </c>
      <c r="Q56" s="8">
        <f t="shared" si="8"/>
        <v>1200</v>
      </c>
      <c r="R56" s="6">
        <v>0.0228869269387794</v>
      </c>
      <c r="S56" s="6">
        <v>0.102755108248233</v>
      </c>
      <c r="T56" s="6">
        <v>0.0715822991243836</v>
      </c>
      <c r="U56" s="6">
        <v>0.0240141734057623</v>
      </c>
      <c r="V56" s="6">
        <v>0.0786051248453055</v>
      </c>
      <c r="W56" s="6">
        <v>0.0404048687856306</v>
      </c>
      <c r="X56" s="6">
        <v>2.04602891155792</v>
      </c>
      <c r="Y56" s="6">
        <v>0.591234407415361</v>
      </c>
    </row>
    <row r="57">
      <c r="A57" s="1"/>
      <c r="B57" s="1"/>
      <c r="C57" s="5" t="s">
        <v>31</v>
      </c>
      <c r="D57" s="6">
        <f t="shared" ref="D57:K57" si="9">MEDIAN(D42:D56)</f>
        <v>0.8441781762</v>
      </c>
      <c r="E57" s="6">
        <f t="shared" si="9"/>
        <v>0.8976898926</v>
      </c>
      <c r="F57" s="6">
        <f t="shared" si="9"/>
        <v>0.8196051711</v>
      </c>
      <c r="G57" s="6">
        <f t="shared" si="9"/>
        <v>0.7431445988</v>
      </c>
      <c r="H57" s="6">
        <f t="shared" si="9"/>
        <v>0.8009133634</v>
      </c>
      <c r="I57" s="6">
        <f t="shared" si="9"/>
        <v>0.7472890157</v>
      </c>
      <c r="J57" s="7">
        <f t="shared" si="9"/>
        <v>7.506145337</v>
      </c>
      <c r="K57" s="7">
        <f t="shared" si="9"/>
        <v>5.344883364</v>
      </c>
    </row>
    <row r="58">
      <c r="A58" s="1"/>
      <c r="B58" s="1"/>
      <c r="C58" s="2"/>
    </row>
    <row r="59">
      <c r="A59" s="1"/>
      <c r="B59" s="1"/>
      <c r="C59" s="2" t="s">
        <v>34</v>
      </c>
    </row>
    <row r="60">
      <c r="A60" s="1"/>
      <c r="B60" s="1"/>
      <c r="C60" s="3" t="s">
        <v>1</v>
      </c>
      <c r="D60" s="3" t="s">
        <v>2</v>
      </c>
      <c r="E60" s="3" t="s">
        <v>3</v>
      </c>
      <c r="F60" s="3" t="s">
        <v>4</v>
      </c>
      <c r="G60" s="3" t="s">
        <v>5</v>
      </c>
      <c r="H60" s="3" t="s">
        <v>6</v>
      </c>
      <c r="I60" s="3" t="s">
        <v>7</v>
      </c>
      <c r="J60" s="3" t="s">
        <v>8</v>
      </c>
      <c r="K60" s="3" t="s">
        <v>9</v>
      </c>
      <c r="L60" s="3" t="s">
        <v>10</v>
      </c>
      <c r="M60" s="3" t="s">
        <v>11</v>
      </c>
      <c r="N60" s="3" t="s">
        <v>12</v>
      </c>
      <c r="O60" s="3" t="s">
        <v>13</v>
      </c>
      <c r="P60" s="3" t="s">
        <v>14</v>
      </c>
      <c r="Q60" s="3" t="s">
        <v>15</v>
      </c>
      <c r="R60" s="3" t="s">
        <v>2</v>
      </c>
      <c r="S60" s="3" t="s">
        <v>3</v>
      </c>
      <c r="T60" s="3" t="s">
        <v>4</v>
      </c>
      <c r="U60" s="3" t="s">
        <v>5</v>
      </c>
      <c r="V60" s="3" t="s">
        <v>6</v>
      </c>
      <c r="W60" s="3" t="s">
        <v>7</v>
      </c>
      <c r="X60" s="3" t="s">
        <v>8</v>
      </c>
      <c r="Y60" s="3" t="s">
        <v>9</v>
      </c>
    </row>
    <row r="61">
      <c r="A61" s="4"/>
      <c r="B61" s="4"/>
      <c r="C61" s="5" t="s">
        <v>16</v>
      </c>
      <c r="D61" s="6">
        <v>0.901333333333333</v>
      </c>
      <c r="E61" s="6">
        <v>0.937291724319896</v>
      </c>
      <c r="F61" s="6">
        <v>0.915686809562543</v>
      </c>
      <c r="G61" s="6">
        <v>0.892455693726692</v>
      </c>
      <c r="H61" s="6">
        <v>0.848862534732211</v>
      </c>
      <c r="I61" s="6">
        <v>0.866500058194235</v>
      </c>
      <c r="J61" s="7">
        <v>7.06666666666666</v>
      </c>
      <c r="K61" s="7">
        <v>2.8</v>
      </c>
      <c r="L61" s="8">
        <v>219.6</v>
      </c>
      <c r="M61" s="8">
        <v>80.4</v>
      </c>
      <c r="N61" s="8">
        <f t="shared" ref="N61:N88" si="10">L61+M61</f>
        <v>300</v>
      </c>
      <c r="O61" s="8">
        <v>690.8</v>
      </c>
      <c r="P61" s="8">
        <v>288.8</v>
      </c>
      <c r="Q61" s="8">
        <f t="shared" ref="Q61:Q88" si="11">P61+O61</f>
        <v>979.6</v>
      </c>
      <c r="R61" s="6">
        <v>0.00339934634239517</v>
      </c>
      <c r="S61" s="6">
        <v>0.00399262489457319</v>
      </c>
      <c r="T61" s="6">
        <v>0.00925477403837902</v>
      </c>
      <c r="U61" s="6">
        <v>0.0189380007078557</v>
      </c>
      <c r="V61" s="6">
        <v>0.0100935309759432</v>
      </c>
      <c r="W61" s="6">
        <v>0.00933745743652162</v>
      </c>
      <c r="X61" s="6">
        <v>0.853749898324379</v>
      </c>
      <c r="Y61" s="6">
        <v>1.06666666666666</v>
      </c>
    </row>
    <row r="62">
      <c r="C62" s="5" t="s">
        <v>35</v>
      </c>
      <c r="D62" s="6">
        <v>0.856432546493398</v>
      </c>
      <c r="E62" s="6">
        <v>0.809215731177494</v>
      </c>
      <c r="F62" s="6">
        <v>0.737417292625624</v>
      </c>
      <c r="G62" s="6">
        <v>0.706809046890421</v>
      </c>
      <c r="H62" s="6">
        <v>0.586503782826365</v>
      </c>
      <c r="I62" s="6">
        <v>0.595151988224632</v>
      </c>
      <c r="J62" s="7">
        <v>1.66921313980137</v>
      </c>
      <c r="K62" s="7">
        <v>12.6875322108587</v>
      </c>
      <c r="L62" s="8">
        <v>13.8</v>
      </c>
      <c r="M62" s="8">
        <v>74.4</v>
      </c>
      <c r="N62" s="8">
        <f t="shared" si="10"/>
        <v>88.2</v>
      </c>
      <c r="O62" s="8">
        <v>33.6</v>
      </c>
      <c r="P62" s="8">
        <v>238.2</v>
      </c>
      <c r="Q62" s="8">
        <f t="shared" si="11"/>
        <v>271.8</v>
      </c>
      <c r="R62" s="6">
        <v>0.0266788814792528</v>
      </c>
      <c r="S62" s="6">
        <v>0.087615835432983</v>
      </c>
      <c r="T62" s="6">
        <v>0.0541429775016469</v>
      </c>
      <c r="U62" s="6">
        <v>0.174660389169453</v>
      </c>
      <c r="V62" s="6">
        <v>0.0605473031172462</v>
      </c>
      <c r="W62" s="6">
        <v>0.0897228947166616</v>
      </c>
      <c r="X62" s="6">
        <v>1.91397738579063</v>
      </c>
      <c r="Y62" s="6">
        <v>3.26332554552512</v>
      </c>
    </row>
    <row r="63">
      <c r="C63" s="5" t="s">
        <v>36</v>
      </c>
      <c r="D63" s="6">
        <v>0.965590960119802</v>
      </c>
      <c r="E63" s="6">
        <v>0.840307508927849</v>
      </c>
      <c r="F63" s="6">
        <v>0.637642188247601</v>
      </c>
      <c r="G63" s="6">
        <v>0.483138883235136</v>
      </c>
      <c r="H63" s="6">
        <v>0.499638989169675</v>
      </c>
      <c r="I63" s="6">
        <v>0.491236906228634</v>
      </c>
      <c r="J63" s="7">
        <v>0.0704225352112676</v>
      </c>
      <c r="K63" s="7">
        <v>3.3704814528085</v>
      </c>
      <c r="L63" s="8">
        <v>9.4</v>
      </c>
      <c r="M63" s="8">
        <v>269.8</v>
      </c>
      <c r="N63" s="8">
        <f t="shared" si="10"/>
        <v>279.2</v>
      </c>
      <c r="O63" s="8">
        <v>11.0</v>
      </c>
      <c r="P63" s="8">
        <v>882.4</v>
      </c>
      <c r="Q63" s="8">
        <f t="shared" si="11"/>
        <v>893.4</v>
      </c>
      <c r="R63" s="6">
        <v>0.00880191159783395</v>
      </c>
      <c r="S63" s="6">
        <v>0.0839967262934848</v>
      </c>
      <c r="T63" s="6">
        <v>0.0916963241708073</v>
      </c>
      <c r="U63" s="6">
        <v>0.0046885988929377</v>
      </c>
      <c r="V63" s="6">
        <v>7.22021660649829E-4</v>
      </c>
      <c r="W63" s="6">
        <v>0.00228792232127337</v>
      </c>
      <c r="X63" s="6">
        <v>0.140845070422535</v>
      </c>
      <c r="Y63" s="6">
        <v>0.93939421910421</v>
      </c>
    </row>
    <row r="64">
      <c r="A64" s="4"/>
      <c r="B64" s="4"/>
      <c r="C64" s="5" t="s">
        <v>17</v>
      </c>
      <c r="D64" s="6">
        <v>0.946197764353381</v>
      </c>
      <c r="E64" s="6">
        <v>0.980751470795148</v>
      </c>
      <c r="F64" s="6">
        <v>0.977884167416843</v>
      </c>
      <c r="G64" s="6">
        <v>0.946902792989276</v>
      </c>
      <c r="H64" s="6">
        <v>0.919510184137337</v>
      </c>
      <c r="I64" s="6">
        <v>0.931090835117546</v>
      </c>
      <c r="J64" s="7">
        <v>1.35837643677502</v>
      </c>
      <c r="K64" s="7">
        <v>4.02184712788686</v>
      </c>
      <c r="L64" s="8">
        <v>50.4</v>
      </c>
      <c r="M64" s="8">
        <v>126.6</v>
      </c>
      <c r="N64" s="8">
        <f t="shared" si="10"/>
        <v>177</v>
      </c>
      <c r="O64" s="8">
        <v>106.0</v>
      </c>
      <c r="P64" s="8">
        <v>716.2</v>
      </c>
      <c r="Q64" s="8">
        <f t="shared" si="11"/>
        <v>822.2</v>
      </c>
      <c r="R64" s="6">
        <v>0.0216480800758223</v>
      </c>
      <c r="S64" s="6">
        <v>0.0050571355589711</v>
      </c>
      <c r="T64" s="6">
        <v>0.00743081350568276</v>
      </c>
      <c r="U64" s="6">
        <v>0.0186648636281034</v>
      </c>
      <c r="V64" s="6">
        <v>0.0378270494455114</v>
      </c>
      <c r="W64" s="6">
        <v>0.0305577848959689</v>
      </c>
      <c r="X64" s="6">
        <v>0.451891864889754</v>
      </c>
      <c r="Y64" s="6">
        <v>2.05381489445311</v>
      </c>
    </row>
    <row r="65">
      <c r="C65" s="5" t="s">
        <v>18</v>
      </c>
      <c r="D65" s="6">
        <v>0.935135488046212</v>
      </c>
      <c r="E65" s="6">
        <v>0.96279769988688</v>
      </c>
      <c r="F65" s="6">
        <v>0.957955053860019</v>
      </c>
      <c r="G65" s="6">
        <v>0.932726031593753</v>
      </c>
      <c r="H65" s="6">
        <v>0.92349804510541</v>
      </c>
      <c r="I65" s="6">
        <v>0.927513359973703</v>
      </c>
      <c r="J65" s="7">
        <v>2.49061540582847</v>
      </c>
      <c r="K65" s="7">
        <v>3.99583578955024</v>
      </c>
      <c r="L65" s="8">
        <v>77.8</v>
      </c>
      <c r="M65" s="8">
        <v>147.4</v>
      </c>
      <c r="N65" s="8">
        <f t="shared" si="10"/>
        <v>225.2</v>
      </c>
      <c r="O65" s="8">
        <v>187.6</v>
      </c>
      <c r="P65" s="8">
        <v>689.4</v>
      </c>
      <c r="Q65" s="8">
        <f t="shared" si="11"/>
        <v>877</v>
      </c>
      <c r="R65" s="6">
        <v>0.0119508717933315</v>
      </c>
      <c r="S65" s="6">
        <v>0.00910640999399127</v>
      </c>
      <c r="T65" s="6">
        <v>0.0140316845342684</v>
      </c>
      <c r="U65" s="6">
        <v>0.00979238452853482</v>
      </c>
      <c r="V65" s="6">
        <v>0.0163914056385104</v>
      </c>
      <c r="W65" s="6">
        <v>0.0132217456286524</v>
      </c>
      <c r="X65" s="6">
        <v>0.552453189868671</v>
      </c>
      <c r="Y65" s="6">
        <v>1.29026907038032</v>
      </c>
    </row>
    <row r="66">
      <c r="C66" s="5" t="s">
        <v>19</v>
      </c>
      <c r="D66" s="6">
        <v>0.951530536894044</v>
      </c>
      <c r="E66" s="6">
        <v>0.976113282699434</v>
      </c>
      <c r="F66" s="6">
        <v>0.975374703114407</v>
      </c>
      <c r="G66" s="6">
        <v>0.943080202617596</v>
      </c>
      <c r="H66" s="6">
        <v>0.944662249427846</v>
      </c>
      <c r="I66" s="6">
        <v>0.942972516725626</v>
      </c>
      <c r="J66" s="7">
        <v>2.45243912247546</v>
      </c>
      <c r="K66" s="7">
        <v>2.39450718812005</v>
      </c>
      <c r="L66" s="8">
        <v>62.6</v>
      </c>
      <c r="M66" s="8">
        <v>139.6</v>
      </c>
      <c r="N66" s="8">
        <f t="shared" si="10"/>
        <v>202.2</v>
      </c>
      <c r="O66" s="8">
        <v>104.0</v>
      </c>
      <c r="P66" s="8">
        <v>621.6</v>
      </c>
      <c r="Q66" s="8">
        <f t="shared" si="11"/>
        <v>725.6</v>
      </c>
      <c r="R66" s="6">
        <v>0.00930173474195105</v>
      </c>
      <c r="S66" s="6">
        <v>0.00516171147287488</v>
      </c>
      <c r="T66" s="6">
        <v>0.00662619122682191</v>
      </c>
      <c r="U66" s="6">
        <v>0.0182793365977565</v>
      </c>
      <c r="V66" s="6">
        <v>0.0118023128007551</v>
      </c>
      <c r="W66" s="6">
        <v>0.0117637739078477</v>
      </c>
      <c r="X66" s="6">
        <v>1.46753540479714</v>
      </c>
      <c r="Y66" s="6">
        <v>1.07783689235279</v>
      </c>
    </row>
    <row r="67">
      <c r="A67" s="4"/>
      <c r="B67" s="4"/>
      <c r="C67" s="5" t="s">
        <v>20</v>
      </c>
      <c r="D67" s="6">
        <v>0.889353071126263</v>
      </c>
      <c r="E67" s="6">
        <v>0.825129520309474</v>
      </c>
      <c r="F67" s="6">
        <v>0.805030634232914</v>
      </c>
      <c r="G67" s="6">
        <v>0.909581645216201</v>
      </c>
      <c r="H67" s="6">
        <v>0.642869642209544</v>
      </c>
      <c r="I67" s="6">
        <v>0.687425498475075</v>
      </c>
      <c r="J67" s="7">
        <v>0.41563221583708</v>
      </c>
      <c r="K67" s="7">
        <v>10.6490606715365</v>
      </c>
      <c r="L67" s="8">
        <v>36.0</v>
      </c>
      <c r="M67" s="8">
        <v>206.6</v>
      </c>
      <c r="N67" s="8">
        <f t="shared" si="10"/>
        <v>242.6</v>
      </c>
      <c r="O67" s="8">
        <v>200.6</v>
      </c>
      <c r="P67" s="8">
        <v>695.8</v>
      </c>
      <c r="Q67" s="8">
        <f t="shared" si="11"/>
        <v>896.4</v>
      </c>
      <c r="R67" s="6">
        <v>0.0261083519581862</v>
      </c>
      <c r="S67" s="6">
        <v>0.0539495112167341</v>
      </c>
      <c r="T67" s="6">
        <v>0.0534745498489678</v>
      </c>
      <c r="U67" s="6">
        <v>0.0501848279142393</v>
      </c>
      <c r="V67" s="6">
        <v>0.0367799424827983</v>
      </c>
      <c r="W67" s="6">
        <v>0.0514115463593764</v>
      </c>
      <c r="X67" s="6">
        <v>0.642820313131281</v>
      </c>
      <c r="Y67" s="6">
        <v>2.49044042582911</v>
      </c>
    </row>
    <row r="68">
      <c r="C68" s="5" t="s">
        <v>37</v>
      </c>
      <c r="D68" s="6">
        <v>0.943480041829694</v>
      </c>
      <c r="E68" s="6">
        <v>0.789827007073052</v>
      </c>
      <c r="F68" s="6">
        <v>0.611530804635332</v>
      </c>
      <c r="G68" s="6">
        <v>0.471740020914847</v>
      </c>
      <c r="H68" s="6">
        <v>0.5</v>
      </c>
      <c r="I68" s="6">
        <v>0.48544026237073</v>
      </c>
      <c r="J68" s="7">
        <v>0.0</v>
      </c>
      <c r="K68" s="7">
        <v>5.65199581703058</v>
      </c>
      <c r="L68" s="8">
        <v>14.0</v>
      </c>
      <c r="M68" s="8">
        <v>234.2</v>
      </c>
      <c r="N68" s="8">
        <f t="shared" si="10"/>
        <v>248.2</v>
      </c>
      <c r="O68" s="8">
        <v>48.8</v>
      </c>
      <c r="P68" s="8">
        <v>638.4</v>
      </c>
      <c r="Q68" s="8">
        <f t="shared" si="11"/>
        <v>687.2</v>
      </c>
      <c r="R68" s="6">
        <v>0.0117502329082968</v>
      </c>
      <c r="S68" s="6">
        <v>0.0762838946766133</v>
      </c>
      <c r="T68" s="6">
        <v>0.0638421350239865</v>
      </c>
      <c r="U68" s="6">
        <v>0.00587511645414841</v>
      </c>
      <c r="V68" s="6">
        <v>0.0</v>
      </c>
      <c r="W68" s="6">
        <v>0.00311321225692237</v>
      </c>
      <c r="X68" s="6">
        <v>0.0</v>
      </c>
      <c r="Y68" s="6">
        <v>1.17502329082968</v>
      </c>
    </row>
    <row r="69">
      <c r="C69" s="5" t="s">
        <v>38</v>
      </c>
      <c r="D69" s="6">
        <v>0.0</v>
      </c>
      <c r="E69" s="6"/>
      <c r="F69" s="6">
        <v>1.0</v>
      </c>
      <c r="G69" s="6">
        <v>0.0</v>
      </c>
      <c r="H69" s="6">
        <v>0.0</v>
      </c>
      <c r="I69" s="6">
        <v>0.0</v>
      </c>
      <c r="J69" s="7">
        <v>0.0</v>
      </c>
      <c r="K69" s="7">
        <v>0.0</v>
      </c>
      <c r="L69" s="8">
        <v>0.0</v>
      </c>
      <c r="M69" s="8">
        <v>0.0</v>
      </c>
      <c r="N69" s="8">
        <f t="shared" si="10"/>
        <v>0</v>
      </c>
      <c r="O69" s="8">
        <v>9.2</v>
      </c>
      <c r="P69" s="8">
        <v>365.0</v>
      </c>
      <c r="Q69" s="8">
        <f t="shared" si="11"/>
        <v>374.2</v>
      </c>
      <c r="R69" s="6">
        <v>0.0</v>
      </c>
      <c r="S69" s="6"/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</row>
    <row r="70">
      <c r="C70" s="5" t="s">
        <v>21</v>
      </c>
      <c r="D70" s="6">
        <v>0.936792631084644</v>
      </c>
      <c r="E70" s="6">
        <v>0.958116508591044</v>
      </c>
      <c r="F70" s="6">
        <v>0.954476597837868</v>
      </c>
      <c r="G70" s="6">
        <v>0.933333353534102</v>
      </c>
      <c r="H70" s="6">
        <v>0.922627658141948</v>
      </c>
      <c r="I70" s="6">
        <v>0.927616344235112</v>
      </c>
      <c r="J70" s="7">
        <v>2.38604195602502</v>
      </c>
      <c r="K70" s="7">
        <v>3.93469493551051</v>
      </c>
      <c r="L70" s="8">
        <v>85.8</v>
      </c>
      <c r="M70" s="8">
        <v>174.2</v>
      </c>
      <c r="N70" s="8">
        <f t="shared" si="10"/>
        <v>260</v>
      </c>
      <c r="O70" s="8">
        <v>217.8</v>
      </c>
      <c r="P70" s="8">
        <v>903.2</v>
      </c>
      <c r="Q70" s="8">
        <f t="shared" si="11"/>
        <v>1121</v>
      </c>
      <c r="R70" s="6">
        <v>0.00876228291905342</v>
      </c>
      <c r="S70" s="6">
        <v>0.0130042522333429</v>
      </c>
      <c r="T70" s="6">
        <v>0.0131851535111458</v>
      </c>
      <c r="U70" s="6">
        <v>0.009510850177731</v>
      </c>
      <c r="V70" s="6">
        <v>0.0111896063553875</v>
      </c>
      <c r="W70" s="6">
        <v>0.0102887549788806</v>
      </c>
      <c r="X70" s="6">
        <v>0.385087078693524</v>
      </c>
      <c r="Y70" s="6">
        <v>0.63070995615858</v>
      </c>
    </row>
    <row r="71">
      <c r="C71" s="5" t="s">
        <v>39</v>
      </c>
      <c r="D71" s="6">
        <v>0.937348769018551</v>
      </c>
      <c r="E71" s="6">
        <v>0.966427044265348</v>
      </c>
      <c r="F71" s="6">
        <v>0.954477142803303</v>
      </c>
      <c r="G71" s="6">
        <v>0.922509470829757</v>
      </c>
      <c r="H71" s="6">
        <v>0.917232229547765</v>
      </c>
      <c r="I71" s="6">
        <v>0.91793397891668</v>
      </c>
      <c r="J71" s="7">
        <v>3.0060708526711</v>
      </c>
      <c r="K71" s="7">
        <v>3.25905224547375</v>
      </c>
      <c r="L71" s="8">
        <v>41.8</v>
      </c>
      <c r="M71" s="8">
        <v>116.0</v>
      </c>
      <c r="N71" s="8">
        <f t="shared" si="10"/>
        <v>157.8</v>
      </c>
      <c r="O71" s="8">
        <v>97.0</v>
      </c>
      <c r="P71" s="8">
        <v>171.0</v>
      </c>
      <c r="Q71" s="8">
        <f t="shared" si="11"/>
        <v>268</v>
      </c>
      <c r="R71" s="6">
        <v>0.0144372206133945</v>
      </c>
      <c r="S71" s="6">
        <v>0.0114148743940242</v>
      </c>
      <c r="T71" s="6">
        <v>0.014899293076234</v>
      </c>
      <c r="U71" s="6">
        <v>0.0284914722290477</v>
      </c>
      <c r="V71" s="6">
        <v>0.0246481437134127</v>
      </c>
      <c r="W71" s="6">
        <v>0.0219985694477446</v>
      </c>
      <c r="X71" s="6">
        <v>1.86663617238143</v>
      </c>
      <c r="Y71" s="6">
        <v>1.54077058683213</v>
      </c>
    </row>
    <row r="72">
      <c r="C72" s="5" t="s">
        <v>40</v>
      </c>
      <c r="D72" s="6">
        <v>0.953975962574699</v>
      </c>
      <c r="E72" s="6">
        <v>0.926745278211711</v>
      </c>
      <c r="F72" s="6">
        <v>0.880757017101299</v>
      </c>
      <c r="G72" s="6">
        <v>0.928843896465085</v>
      </c>
      <c r="H72" s="6">
        <v>0.780189322919837</v>
      </c>
      <c r="I72" s="6">
        <v>0.820750193318532</v>
      </c>
      <c r="J72" s="7">
        <v>0.553254165515971</v>
      </c>
      <c r="K72" s="7">
        <v>4.04914957701412</v>
      </c>
      <c r="L72" s="8">
        <v>13.2</v>
      </c>
      <c r="M72" s="8">
        <v>144.6</v>
      </c>
      <c r="N72" s="8">
        <f t="shared" si="10"/>
        <v>157.8</v>
      </c>
      <c r="O72" s="8">
        <v>15.8</v>
      </c>
      <c r="P72" s="8">
        <v>226.2</v>
      </c>
      <c r="Q72" s="8">
        <f t="shared" si="11"/>
        <v>242</v>
      </c>
      <c r="R72" s="6">
        <v>0.0296405541318987</v>
      </c>
      <c r="S72" s="6">
        <v>0.0544510826713039</v>
      </c>
      <c r="T72" s="6">
        <v>0.0833585529377903</v>
      </c>
      <c r="U72" s="6">
        <v>0.0726331720022381</v>
      </c>
      <c r="V72" s="6">
        <v>0.107957497426109</v>
      </c>
      <c r="W72" s="6">
        <v>0.107333424691433</v>
      </c>
      <c r="X72" s="6">
        <v>0.819772576476524</v>
      </c>
      <c r="Y72" s="6">
        <v>2.94644636140943</v>
      </c>
    </row>
    <row r="73">
      <c r="C73" s="5" t="s">
        <v>22</v>
      </c>
      <c r="D73" s="6">
        <v>0.968444323154462</v>
      </c>
      <c r="E73" s="6">
        <v>0.500479681663331</v>
      </c>
      <c r="F73" s="6">
        <v>0.574358941839903</v>
      </c>
      <c r="G73" s="6">
        <v>0.586198121406855</v>
      </c>
      <c r="H73" s="6">
        <v>0.537849462365591</v>
      </c>
      <c r="I73" s="6">
        <v>0.549084071425598</v>
      </c>
      <c r="J73" s="7">
        <v>0.414507772020725</v>
      </c>
      <c r="K73" s="7">
        <v>2.74105991253306</v>
      </c>
      <c r="L73" s="8">
        <v>5.6</v>
      </c>
      <c r="M73" s="8">
        <v>183.2</v>
      </c>
      <c r="N73" s="8">
        <f t="shared" si="10"/>
        <v>188.8</v>
      </c>
      <c r="O73" s="8">
        <v>54.4</v>
      </c>
      <c r="P73" s="8">
        <v>826.8</v>
      </c>
      <c r="Q73" s="8">
        <f t="shared" si="11"/>
        <v>881.2</v>
      </c>
      <c r="R73" s="6">
        <v>0.0159068635596479</v>
      </c>
      <c r="S73" s="6">
        <v>0.16358714963465</v>
      </c>
      <c r="T73" s="6">
        <v>0.075313633991758</v>
      </c>
      <c r="U73" s="6">
        <v>0.202619064815439</v>
      </c>
      <c r="V73" s="6">
        <v>0.0811821548076959</v>
      </c>
      <c r="W73" s="6">
        <v>0.116186758433107</v>
      </c>
      <c r="X73" s="6">
        <v>0.82901554404145</v>
      </c>
      <c r="Y73" s="6">
        <v>1.05290334636247</v>
      </c>
    </row>
    <row r="74">
      <c r="C74" s="5" t="s">
        <v>23</v>
      </c>
      <c r="D74" s="6">
        <v>0.952013264885867</v>
      </c>
      <c r="E74" s="6">
        <v>0.949025785957972</v>
      </c>
      <c r="F74" s="6">
        <v>0.950412811040335</v>
      </c>
      <c r="G74" s="6">
        <v>0.942320171401979</v>
      </c>
      <c r="H74" s="6">
        <v>0.927761585905871</v>
      </c>
      <c r="I74" s="6">
        <v>0.933846663183449</v>
      </c>
      <c r="J74" s="7">
        <v>1.80042498340579</v>
      </c>
      <c r="K74" s="7">
        <v>2.9982485280075</v>
      </c>
      <c r="L74" s="8">
        <v>53.4</v>
      </c>
      <c r="M74" s="8">
        <v>168.4</v>
      </c>
      <c r="N74" s="8">
        <f t="shared" si="10"/>
        <v>221.8</v>
      </c>
      <c r="O74" s="8">
        <v>188.4</v>
      </c>
      <c r="P74" s="8">
        <v>761.2</v>
      </c>
      <c r="Q74" s="8">
        <f t="shared" si="11"/>
        <v>949.6</v>
      </c>
      <c r="R74" s="6">
        <v>0.0142604653981191</v>
      </c>
      <c r="S74" s="6">
        <v>0.013756536531376</v>
      </c>
      <c r="T74" s="6">
        <v>0.010461443120708</v>
      </c>
      <c r="U74" s="6">
        <v>0.0127086313742781</v>
      </c>
      <c r="V74" s="6">
        <v>0.0240780399450383</v>
      </c>
      <c r="W74" s="6">
        <v>0.0165267629709497</v>
      </c>
      <c r="X74" s="6">
        <v>0.79949748798651</v>
      </c>
      <c r="Y74" s="6">
        <v>1.63162518065542</v>
      </c>
    </row>
    <row r="75">
      <c r="A75" s="4"/>
      <c r="B75" s="4"/>
      <c r="C75" s="5" t="s">
        <v>24</v>
      </c>
      <c r="D75" s="6">
        <v>0.904666666666666</v>
      </c>
      <c r="E75" s="6">
        <v>0.604547235232958</v>
      </c>
      <c r="F75" s="6">
        <v>0.54690613560001</v>
      </c>
      <c r="G75" s="6">
        <v>0.452333333333333</v>
      </c>
      <c r="H75" s="6">
        <v>0.5</v>
      </c>
      <c r="I75" s="6">
        <v>0.474968219731584</v>
      </c>
      <c r="J75" s="7">
        <v>0.0</v>
      </c>
      <c r="K75" s="7">
        <v>9.53333333333333</v>
      </c>
      <c r="L75" s="8">
        <v>28.6</v>
      </c>
      <c r="M75" s="8">
        <v>271.4</v>
      </c>
      <c r="N75" s="8">
        <f t="shared" si="10"/>
        <v>300</v>
      </c>
      <c r="O75" s="8">
        <v>106.2</v>
      </c>
      <c r="P75" s="8">
        <v>925.4</v>
      </c>
      <c r="Q75" s="8">
        <f t="shared" si="11"/>
        <v>1031.6</v>
      </c>
      <c r="R75" s="6">
        <v>0.00618241233033045</v>
      </c>
      <c r="S75" s="6">
        <v>0.098313196030628</v>
      </c>
      <c r="T75" s="6">
        <v>0.0260706063553392</v>
      </c>
      <c r="U75" s="6">
        <v>0.00309120616516522</v>
      </c>
      <c r="V75" s="6">
        <v>0.0</v>
      </c>
      <c r="W75" s="6">
        <v>0.00170335529821126</v>
      </c>
      <c r="X75" s="6">
        <v>0.0</v>
      </c>
      <c r="Y75" s="6">
        <v>0.618241233033046</v>
      </c>
      <c r="AD75" s="1"/>
      <c r="AE75" s="3" t="s">
        <v>1</v>
      </c>
    </row>
    <row r="76">
      <c r="C76" s="5" t="s">
        <v>41</v>
      </c>
      <c r="D76" s="6">
        <v>0.0</v>
      </c>
      <c r="E76" s="6"/>
      <c r="F76" s="6">
        <v>1.0</v>
      </c>
      <c r="G76" s="6">
        <v>0.0</v>
      </c>
      <c r="H76" s="6">
        <v>0.0</v>
      </c>
      <c r="I76" s="6">
        <v>0.0</v>
      </c>
      <c r="J76" s="7">
        <v>0.0</v>
      </c>
      <c r="K76" s="7">
        <v>0.0</v>
      </c>
      <c r="L76" s="8">
        <v>0.0</v>
      </c>
      <c r="M76" s="8">
        <v>0.0</v>
      </c>
      <c r="N76" s="8">
        <f t="shared" si="10"/>
        <v>0</v>
      </c>
      <c r="O76" s="8">
        <v>229.6</v>
      </c>
      <c r="P76" s="8">
        <v>35.4</v>
      </c>
      <c r="Q76" s="8">
        <f t="shared" si="11"/>
        <v>265</v>
      </c>
      <c r="R76" s="6">
        <v>0.0</v>
      </c>
      <c r="S76" s="6"/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0.0</v>
      </c>
      <c r="AD76" s="4"/>
      <c r="AE76" s="5" t="s">
        <v>16</v>
      </c>
      <c r="AF76" s="4"/>
    </row>
    <row r="77">
      <c r="C77" s="5" t="s">
        <v>42</v>
      </c>
      <c r="D77" s="6">
        <v>0.0</v>
      </c>
      <c r="E77" s="6"/>
      <c r="F77" s="6">
        <v>1.0</v>
      </c>
      <c r="G77" s="6">
        <v>0.0</v>
      </c>
      <c r="H77" s="6">
        <v>0.0</v>
      </c>
      <c r="I77" s="6">
        <v>0.0</v>
      </c>
      <c r="J77" s="7">
        <v>0.0</v>
      </c>
      <c r="K77" s="7">
        <v>0.0</v>
      </c>
      <c r="L77" s="8">
        <v>0.0</v>
      </c>
      <c r="M77" s="8">
        <v>0.0</v>
      </c>
      <c r="N77" s="8">
        <f t="shared" si="10"/>
        <v>0</v>
      </c>
      <c r="O77" s="8">
        <v>169.2</v>
      </c>
      <c r="P77" s="8">
        <v>40.2</v>
      </c>
      <c r="Q77" s="8">
        <f t="shared" si="11"/>
        <v>209.4</v>
      </c>
      <c r="R77" s="6">
        <v>0.0</v>
      </c>
      <c r="S77" s="6"/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0.0</v>
      </c>
      <c r="AD77" s="1"/>
      <c r="AE77" s="5" t="s">
        <v>17</v>
      </c>
      <c r="AF77" s="4"/>
    </row>
    <row r="78">
      <c r="C78" s="5" t="s">
        <v>43</v>
      </c>
      <c r="D78" s="6">
        <v>0.700586920810054</v>
      </c>
      <c r="E78" s="6">
        <v>0.534287806367872</v>
      </c>
      <c r="F78" s="6">
        <v>0.563603304394982</v>
      </c>
      <c r="G78" s="6">
        <v>0.350293460405027</v>
      </c>
      <c r="H78" s="6">
        <v>0.5</v>
      </c>
      <c r="I78" s="6">
        <v>0.41162131555483</v>
      </c>
      <c r="J78" s="7">
        <v>0.0</v>
      </c>
      <c r="K78" s="7">
        <v>29.9413079189945</v>
      </c>
      <c r="L78" s="8">
        <v>85.4</v>
      </c>
      <c r="M78" s="8">
        <v>199.8</v>
      </c>
      <c r="N78" s="8">
        <f t="shared" si="10"/>
        <v>285.2</v>
      </c>
      <c r="O78" s="8">
        <v>115.8</v>
      </c>
      <c r="P78" s="8">
        <v>378.4</v>
      </c>
      <c r="Q78" s="8">
        <f t="shared" si="11"/>
        <v>494.2</v>
      </c>
      <c r="R78" s="6">
        <v>0.0406455801897574</v>
      </c>
      <c r="S78" s="6">
        <v>0.118078594580002</v>
      </c>
      <c r="T78" s="6">
        <v>0.0817955715989948</v>
      </c>
      <c r="U78" s="6">
        <v>0.0203227900948787</v>
      </c>
      <c r="V78" s="6">
        <v>0.0</v>
      </c>
      <c r="W78" s="6">
        <v>0.0144949556618907</v>
      </c>
      <c r="X78" s="6">
        <v>0.0</v>
      </c>
      <c r="Y78" s="6">
        <v>4.06455801897574</v>
      </c>
      <c r="AD78" s="4"/>
      <c r="AE78" s="5" t="s">
        <v>18</v>
      </c>
    </row>
    <row r="79">
      <c r="A79" s="4"/>
      <c r="B79" s="4"/>
      <c r="C79" s="5" t="s">
        <v>25</v>
      </c>
      <c r="D79" s="6">
        <v>0.901333333333333</v>
      </c>
      <c r="E79" s="6">
        <v>0.950688217469243</v>
      </c>
      <c r="F79" s="6">
        <v>0.944279188990146</v>
      </c>
      <c r="G79" s="6">
        <v>0.901893713443941</v>
      </c>
      <c r="H79" s="6">
        <v>0.901435563640503</v>
      </c>
      <c r="I79" s="6">
        <v>0.90120838701312</v>
      </c>
      <c r="J79" s="7">
        <v>5.8</v>
      </c>
      <c r="K79" s="7">
        <v>4.06666666666666</v>
      </c>
      <c r="L79" s="8">
        <v>148.8</v>
      </c>
      <c r="M79" s="8">
        <v>151.2</v>
      </c>
      <c r="N79" s="8">
        <f t="shared" si="10"/>
        <v>300</v>
      </c>
      <c r="O79" s="8">
        <v>496.8</v>
      </c>
      <c r="P79" s="8">
        <v>532.8</v>
      </c>
      <c r="Q79" s="8">
        <f t="shared" si="11"/>
        <v>1029.6</v>
      </c>
      <c r="R79" s="6">
        <v>0.0134329611197398</v>
      </c>
      <c r="S79" s="6">
        <v>0.0150484311308959</v>
      </c>
      <c r="T79" s="6">
        <v>0.0198907308248169</v>
      </c>
      <c r="U79" s="6">
        <v>0.013200536215953</v>
      </c>
      <c r="V79" s="6">
        <v>0.0128025292691356</v>
      </c>
      <c r="W79" s="6">
        <v>0.0134240895241797</v>
      </c>
      <c r="X79" s="6">
        <v>1.32664991614215</v>
      </c>
      <c r="Y79" s="6">
        <v>0.442216638714053</v>
      </c>
      <c r="AD79" s="1"/>
      <c r="AE79" s="5" t="s">
        <v>19</v>
      </c>
    </row>
    <row r="80">
      <c r="A80" s="4"/>
      <c r="B80" s="4"/>
      <c r="C80" s="5" t="s">
        <v>26</v>
      </c>
      <c r="D80" s="6">
        <v>0.86092448538669</v>
      </c>
      <c r="E80" s="6">
        <v>0.718658205849445</v>
      </c>
      <c r="F80" s="6">
        <v>0.729096698029014</v>
      </c>
      <c r="G80" s="6">
        <v>0.892751400113659</v>
      </c>
      <c r="H80" s="6">
        <v>0.610184699755367</v>
      </c>
      <c r="I80" s="6">
        <v>0.640999817024733</v>
      </c>
      <c r="J80" s="7">
        <v>0.290887000437482</v>
      </c>
      <c r="K80" s="7">
        <v>13.6166644608934</v>
      </c>
      <c r="L80" s="8">
        <v>36.6</v>
      </c>
      <c r="M80" s="8">
        <v>171.6</v>
      </c>
      <c r="N80" s="8">
        <f t="shared" si="10"/>
        <v>208.2</v>
      </c>
      <c r="O80" s="8">
        <v>477.4</v>
      </c>
      <c r="P80" s="8">
        <v>397.2</v>
      </c>
      <c r="Q80" s="8">
        <f t="shared" si="11"/>
        <v>874.6</v>
      </c>
      <c r="R80" s="6">
        <v>0.0161032456018364</v>
      </c>
      <c r="S80" s="6">
        <v>0.122243018516295</v>
      </c>
      <c r="T80" s="6">
        <v>0.0696192482299296</v>
      </c>
      <c r="U80" s="6">
        <v>0.0218710003163697</v>
      </c>
      <c r="V80" s="6">
        <v>0.00734882647222047</v>
      </c>
      <c r="W80" s="6">
        <v>0.00864153273322597</v>
      </c>
      <c r="X80" s="6">
        <v>0.238602421990795</v>
      </c>
      <c r="Y80" s="6">
        <v>1.81140955932803</v>
      </c>
      <c r="AD80" s="4"/>
      <c r="AE80" s="5" t="s">
        <v>20</v>
      </c>
      <c r="AF80" s="4"/>
    </row>
    <row r="81">
      <c r="A81" s="4"/>
      <c r="B81" s="4"/>
      <c r="C81" s="5" t="s">
        <v>27</v>
      </c>
      <c r="D81" s="6">
        <v>0.855261779046374</v>
      </c>
      <c r="E81" s="6">
        <v>0.903001930760244</v>
      </c>
      <c r="F81" s="6">
        <v>0.903192484143824</v>
      </c>
      <c r="G81" s="6">
        <v>0.864161701769362</v>
      </c>
      <c r="H81" s="6">
        <v>0.814593251406166</v>
      </c>
      <c r="I81" s="6">
        <v>0.82722013841606</v>
      </c>
      <c r="J81" s="7">
        <v>4.0241963268992</v>
      </c>
      <c r="K81" s="7">
        <v>10.4496257684633</v>
      </c>
      <c r="L81" s="8">
        <v>68.8</v>
      </c>
      <c r="M81" s="8">
        <v>136.8</v>
      </c>
      <c r="N81" s="8">
        <f t="shared" si="10"/>
        <v>205.6</v>
      </c>
      <c r="O81" s="8">
        <v>223.4</v>
      </c>
      <c r="P81" s="8">
        <v>573.8</v>
      </c>
      <c r="Q81" s="8">
        <f t="shared" si="11"/>
        <v>797.2</v>
      </c>
      <c r="R81" s="6">
        <v>0.0184742068960895</v>
      </c>
      <c r="S81" s="6">
        <v>0.0289510952404612</v>
      </c>
      <c r="T81" s="6">
        <v>0.0261785711385981</v>
      </c>
      <c r="U81" s="6">
        <v>0.0279094948396153</v>
      </c>
      <c r="V81" s="6">
        <v>0.0319354299979095</v>
      </c>
      <c r="W81" s="6">
        <v>0.0266188679144796</v>
      </c>
      <c r="X81" s="6">
        <v>3.21029986335729</v>
      </c>
      <c r="Y81" s="6">
        <v>3.56446379318621</v>
      </c>
      <c r="AD81" s="1"/>
      <c r="AE81" s="5" t="s">
        <v>21</v>
      </c>
    </row>
    <row r="82">
      <c r="C82" s="5" t="s">
        <v>44</v>
      </c>
      <c r="D82" s="6">
        <v>0.65</v>
      </c>
      <c r="E82" s="6">
        <v>0.590701392239822</v>
      </c>
      <c r="F82" s="6">
        <v>0.626850151578861</v>
      </c>
      <c r="G82" s="6">
        <v>0.707125109294809</v>
      </c>
      <c r="H82" s="6">
        <v>0.527601562429715</v>
      </c>
      <c r="I82" s="6">
        <v>0.448089498800237</v>
      </c>
      <c r="J82" s="7">
        <v>0.466666666666666</v>
      </c>
      <c r="K82" s="7">
        <v>34.5333333333333</v>
      </c>
      <c r="L82" s="8">
        <v>110.4</v>
      </c>
      <c r="M82" s="8">
        <v>189.6</v>
      </c>
      <c r="N82" s="8">
        <f t="shared" si="10"/>
        <v>300</v>
      </c>
      <c r="O82" s="8">
        <v>665.6</v>
      </c>
      <c r="P82" s="8">
        <v>335.6</v>
      </c>
      <c r="Q82" s="8">
        <f t="shared" si="11"/>
        <v>1001.2</v>
      </c>
      <c r="R82" s="6">
        <v>0.038528488738133</v>
      </c>
      <c r="S82" s="6">
        <v>0.16155244598354</v>
      </c>
      <c r="T82" s="6">
        <v>0.112966824461362</v>
      </c>
      <c r="U82" s="6">
        <v>0.121615624085173</v>
      </c>
      <c r="V82" s="6">
        <v>0.0180190295576778</v>
      </c>
      <c r="W82" s="6">
        <v>0.0393757192608897</v>
      </c>
      <c r="X82" s="6">
        <v>0.266666666666666</v>
      </c>
      <c r="Y82" s="6">
        <v>3.70944739819827</v>
      </c>
      <c r="AD82" s="1"/>
      <c r="AE82" s="5" t="s">
        <v>22</v>
      </c>
    </row>
    <row r="83">
      <c r="C83" s="5" t="s">
        <v>45</v>
      </c>
      <c r="D83" s="6">
        <v>0.0</v>
      </c>
      <c r="E83" s="6"/>
      <c r="F83" s="6">
        <v>1.0</v>
      </c>
      <c r="G83" s="6">
        <v>0.0</v>
      </c>
      <c r="H83" s="6">
        <v>0.0</v>
      </c>
      <c r="I83" s="6">
        <v>0.0</v>
      </c>
      <c r="J83" s="7">
        <v>0.0</v>
      </c>
      <c r="K83" s="7">
        <v>0.0</v>
      </c>
      <c r="L83" s="8">
        <v>0.0</v>
      </c>
      <c r="M83" s="8">
        <v>0.0</v>
      </c>
      <c r="N83" s="8">
        <f t="shared" si="10"/>
        <v>0</v>
      </c>
      <c r="O83" s="8">
        <v>10.0</v>
      </c>
      <c r="P83" s="8">
        <v>153.4</v>
      </c>
      <c r="Q83" s="8">
        <f t="shared" si="11"/>
        <v>163.4</v>
      </c>
      <c r="R83" s="6">
        <v>0.0</v>
      </c>
      <c r="S83" s="6"/>
      <c r="T83" s="6">
        <v>9.93013661298909E-17</v>
      </c>
      <c r="U83" s="6">
        <v>0.0</v>
      </c>
      <c r="V83" s="6">
        <v>0.0</v>
      </c>
      <c r="W83" s="6">
        <v>0.0</v>
      </c>
      <c r="X83" s="6">
        <v>0.0</v>
      </c>
      <c r="Y83" s="6">
        <v>0.0</v>
      </c>
      <c r="AD83" s="1"/>
      <c r="AE83" s="5" t="s">
        <v>23</v>
      </c>
    </row>
    <row r="84">
      <c r="A84" s="4"/>
      <c r="B84" s="4"/>
      <c r="C84" s="5" t="s">
        <v>28</v>
      </c>
      <c r="D84" s="6">
        <v>0.89215156047305</v>
      </c>
      <c r="E84" s="6">
        <v>0.943147097840565</v>
      </c>
      <c r="F84" s="6">
        <v>0.932168038184699</v>
      </c>
      <c r="G84" s="6">
        <v>0.875440358247228</v>
      </c>
      <c r="H84" s="6">
        <v>0.884358875777292</v>
      </c>
      <c r="I84" s="6">
        <v>0.879101558116647</v>
      </c>
      <c r="J84" s="7">
        <v>6.2521062915687</v>
      </c>
      <c r="K84" s="7">
        <v>4.53273766112623</v>
      </c>
      <c r="L84" s="8">
        <v>79.2</v>
      </c>
      <c r="M84" s="8">
        <v>163.6</v>
      </c>
      <c r="N84" s="8">
        <f t="shared" si="10"/>
        <v>242.8</v>
      </c>
      <c r="O84" s="8">
        <v>241.8</v>
      </c>
      <c r="P84" s="8">
        <v>662.4</v>
      </c>
      <c r="Q84" s="8">
        <f t="shared" si="11"/>
        <v>904.2</v>
      </c>
      <c r="R84" s="6">
        <v>0.0193937770673117</v>
      </c>
      <c r="S84" s="6">
        <v>0.0217474076981302</v>
      </c>
      <c r="T84" s="6">
        <v>0.0185614560158193</v>
      </c>
      <c r="U84" s="6">
        <v>0.0183473823362622</v>
      </c>
      <c r="V84" s="6">
        <v>0.0207697173182734</v>
      </c>
      <c r="W84" s="6">
        <v>0.0187334757343668</v>
      </c>
      <c r="X84" s="6">
        <v>1.39941439184904</v>
      </c>
      <c r="Y84" s="6">
        <v>1.36365509838609</v>
      </c>
      <c r="AD84" s="4"/>
      <c r="AE84" s="5" t="s">
        <v>24</v>
      </c>
      <c r="AF84" s="4"/>
    </row>
    <row r="85">
      <c r="C85" s="5" t="s">
        <v>46</v>
      </c>
      <c r="D85" s="6">
        <v>0.975710498273524</v>
      </c>
      <c r="E85" s="6">
        <v>0.679230730596326</v>
      </c>
      <c r="F85" s="6">
        <v>0.522365598512769</v>
      </c>
      <c r="G85" s="6">
        <v>0.487855249136762</v>
      </c>
      <c r="H85" s="6">
        <v>0.5</v>
      </c>
      <c r="I85" s="6">
        <v>0.493845785121827</v>
      </c>
      <c r="J85" s="7">
        <v>0.0</v>
      </c>
      <c r="K85" s="7">
        <v>2.42895017264757</v>
      </c>
      <c r="L85" s="8">
        <v>5.8</v>
      </c>
      <c r="M85" s="8">
        <v>232.4</v>
      </c>
      <c r="N85" s="8">
        <f t="shared" si="10"/>
        <v>238.2</v>
      </c>
      <c r="O85" s="8">
        <v>85.0</v>
      </c>
      <c r="P85" s="8">
        <v>557.4</v>
      </c>
      <c r="Q85" s="8">
        <f t="shared" si="11"/>
        <v>642.4</v>
      </c>
      <c r="R85" s="6">
        <v>0.00744002819412914</v>
      </c>
      <c r="S85" s="6">
        <v>0.0564648615067218</v>
      </c>
      <c r="T85" s="6">
        <v>0.0123183052305802</v>
      </c>
      <c r="U85" s="6">
        <v>0.00372001409706458</v>
      </c>
      <c r="V85" s="6">
        <v>0.0</v>
      </c>
      <c r="W85" s="6">
        <v>0.0019080700192457</v>
      </c>
      <c r="X85" s="6">
        <v>0.0</v>
      </c>
      <c r="Y85" s="6">
        <v>0.744002819412915</v>
      </c>
      <c r="AD85" s="4"/>
      <c r="AE85" s="5" t="s">
        <v>25</v>
      </c>
      <c r="AF85" s="4"/>
    </row>
    <row r="86">
      <c r="A86" s="4"/>
      <c r="B86" s="4"/>
      <c r="C86" s="5" t="s">
        <v>29</v>
      </c>
      <c r="D86" s="6">
        <v>0.956255850401443</v>
      </c>
      <c r="E86" s="6">
        <v>0.963972580678861</v>
      </c>
      <c r="F86" s="6">
        <v>0.952949192048156</v>
      </c>
      <c r="G86" s="6">
        <v>0.957611339357666</v>
      </c>
      <c r="H86" s="6">
        <v>0.94932661733605</v>
      </c>
      <c r="I86" s="6">
        <v>0.953051291501414</v>
      </c>
      <c r="J86" s="7">
        <v>1.32231906574365</v>
      </c>
      <c r="K86" s="7">
        <v>3.05209589411202</v>
      </c>
      <c r="L86" s="8">
        <v>91.8</v>
      </c>
      <c r="M86" s="8">
        <v>150.8</v>
      </c>
      <c r="N86" s="8">
        <f t="shared" si="10"/>
        <v>242.6</v>
      </c>
      <c r="O86" s="8">
        <v>303.2</v>
      </c>
      <c r="P86" s="8">
        <v>550.8</v>
      </c>
      <c r="Q86" s="8">
        <f t="shared" si="11"/>
        <v>854</v>
      </c>
      <c r="R86" s="6">
        <v>0.00840616324623986</v>
      </c>
      <c r="S86" s="6">
        <v>0.0160904511645467</v>
      </c>
      <c r="T86" s="6">
        <v>0.029134741421246</v>
      </c>
      <c r="U86" s="6">
        <v>0.0095990812668127</v>
      </c>
      <c r="V86" s="6">
        <v>0.00860973309415331</v>
      </c>
      <c r="W86" s="6">
        <v>0.00892998692201259</v>
      </c>
      <c r="X86" s="6">
        <v>0.619844987541004</v>
      </c>
      <c r="Y86" s="6">
        <v>0.569611973725449</v>
      </c>
      <c r="AD86" s="4"/>
      <c r="AE86" s="5" t="s">
        <v>26</v>
      </c>
      <c r="AF86" s="4"/>
    </row>
    <row r="87">
      <c r="C87" s="5" t="s">
        <v>47</v>
      </c>
      <c r="D87" s="6">
        <v>0.799225520786615</v>
      </c>
      <c r="E87" s="6">
        <v>0.85577004104464</v>
      </c>
      <c r="F87" s="6">
        <v>0.84721097626193</v>
      </c>
      <c r="G87" s="6">
        <v>0.788825869020376</v>
      </c>
      <c r="H87" s="6">
        <v>0.748021730049762</v>
      </c>
      <c r="I87" s="6">
        <v>0.74079811932933</v>
      </c>
      <c r="J87" s="7">
        <v>8.54340191015603</v>
      </c>
      <c r="K87" s="7">
        <v>11.5340460111824</v>
      </c>
      <c r="L87" s="8">
        <v>8.2</v>
      </c>
      <c r="M87" s="8">
        <v>19.2</v>
      </c>
      <c r="N87" s="8">
        <f t="shared" si="10"/>
        <v>27.4</v>
      </c>
      <c r="O87" s="8">
        <v>11.4</v>
      </c>
      <c r="P87" s="8">
        <v>26.6</v>
      </c>
      <c r="Q87" s="8">
        <f t="shared" si="11"/>
        <v>38</v>
      </c>
      <c r="R87" s="6">
        <v>0.0870868909248209</v>
      </c>
      <c r="S87" s="6">
        <v>0.07299466712226</v>
      </c>
      <c r="T87" s="6">
        <v>0.0771603469723884</v>
      </c>
      <c r="U87" s="6">
        <v>0.114196662175143</v>
      </c>
      <c r="V87" s="6">
        <v>0.124554277929576</v>
      </c>
      <c r="W87" s="6">
        <v>0.117732606224549</v>
      </c>
      <c r="X87" s="6">
        <v>5.83193360837833</v>
      </c>
      <c r="Y87" s="6">
        <v>8.47318860523506</v>
      </c>
      <c r="AD87" s="4"/>
      <c r="AE87" s="5" t="s">
        <v>27</v>
      </c>
      <c r="AF87" s="4"/>
    </row>
    <row r="88">
      <c r="C88" s="5" t="s">
        <v>30</v>
      </c>
      <c r="D88" s="6">
        <v>0.0</v>
      </c>
      <c r="E88" s="6"/>
      <c r="F88" s="6">
        <v>1.0</v>
      </c>
      <c r="G88" s="6">
        <v>0.0</v>
      </c>
      <c r="H88" s="6">
        <v>0.0</v>
      </c>
      <c r="I88" s="6">
        <v>0.0</v>
      </c>
      <c r="J88" s="7">
        <v>0.0</v>
      </c>
      <c r="K88" s="7">
        <v>0.0</v>
      </c>
      <c r="L88" s="8">
        <v>0.0</v>
      </c>
      <c r="M88" s="8">
        <v>0.0</v>
      </c>
      <c r="N88" s="8">
        <f t="shared" si="10"/>
        <v>0</v>
      </c>
      <c r="O88" s="8">
        <v>80.4</v>
      </c>
      <c r="P88" s="8">
        <v>822.2</v>
      </c>
      <c r="Q88" s="8">
        <f t="shared" si="11"/>
        <v>902.6</v>
      </c>
      <c r="R88" s="6">
        <v>0.0</v>
      </c>
      <c r="S88" s="6"/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AD88" s="4"/>
      <c r="AE88" s="5" t="s">
        <v>28</v>
      </c>
      <c r="AF88" s="4"/>
    </row>
    <row r="89">
      <c r="A89" s="1"/>
      <c r="B89" s="1"/>
      <c r="C89" s="5" t="s">
        <v>31</v>
      </c>
      <c r="D89" s="6">
        <f>MEDIAN(D61:D88)</f>
        <v>0.9013333333</v>
      </c>
      <c r="E89" s="6">
        <f t="shared" ref="E89:K89" si="12">MEDIAN(E4:E88)</f>
        <v>0.9068677477</v>
      </c>
      <c r="F89" s="6">
        <f t="shared" si="12"/>
        <v>0.8491596488</v>
      </c>
      <c r="G89" s="6">
        <f t="shared" si="12"/>
        <v>0.7978108326</v>
      </c>
      <c r="H89" s="6">
        <f t="shared" si="12"/>
        <v>0.7965453458</v>
      </c>
      <c r="I89" s="6">
        <f t="shared" si="12"/>
        <v>0.7870767857</v>
      </c>
      <c r="J89" s="7">
        <f t="shared" si="12"/>
        <v>3.912098163</v>
      </c>
      <c r="K89" s="7">
        <f t="shared" si="12"/>
        <v>4.076016482</v>
      </c>
      <c r="AD89" s="4"/>
      <c r="AE89" s="5" t="s">
        <v>29</v>
      </c>
      <c r="AF89" s="4"/>
    </row>
    <row r="90">
      <c r="A90" s="1"/>
      <c r="B90" s="1"/>
      <c r="C90" s="2" t="s">
        <v>48</v>
      </c>
      <c r="AD90" s="4"/>
      <c r="AE90" s="5" t="s">
        <v>30</v>
      </c>
    </row>
    <row r="91">
      <c r="A91" s="1"/>
      <c r="B91" s="1"/>
      <c r="C91" s="2"/>
    </row>
    <row r="92">
      <c r="A92" s="1"/>
      <c r="B92" s="1"/>
      <c r="C92" s="3" t="s">
        <v>1</v>
      </c>
      <c r="D92" s="3" t="s">
        <v>2</v>
      </c>
      <c r="E92" s="3" t="s">
        <v>3</v>
      </c>
      <c r="F92" s="3" t="s">
        <v>4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11</v>
      </c>
      <c r="N92" s="3" t="s">
        <v>12</v>
      </c>
      <c r="O92" s="3" t="s">
        <v>13</v>
      </c>
      <c r="P92" s="3" t="s">
        <v>14</v>
      </c>
      <c r="Q92" s="3" t="s">
        <v>15</v>
      </c>
      <c r="R92" s="3" t="s">
        <v>2</v>
      </c>
      <c r="S92" s="3" t="s">
        <v>3</v>
      </c>
      <c r="T92" s="3" t="s">
        <v>4</v>
      </c>
      <c r="U92" s="3" t="s">
        <v>5</v>
      </c>
      <c r="V92" s="3" t="s">
        <v>6</v>
      </c>
      <c r="W92" s="3" t="s">
        <v>7</v>
      </c>
      <c r="X92" s="3" t="s">
        <v>8</v>
      </c>
      <c r="Y92" s="3" t="s">
        <v>9</v>
      </c>
    </row>
    <row r="93">
      <c r="A93" s="4"/>
      <c r="B93" s="4"/>
      <c r="C93" s="5" t="s">
        <v>16</v>
      </c>
      <c r="D93" s="6">
        <v>0.910666666666666</v>
      </c>
      <c r="E93" s="6">
        <v>0.941257213407953</v>
      </c>
      <c r="F93" s="6">
        <v>0.929664981305287</v>
      </c>
      <c r="G93" s="6">
        <v>0.916044491109081</v>
      </c>
      <c r="H93" s="6">
        <v>0.853659901735811</v>
      </c>
      <c r="I93" s="6">
        <v>0.877960563276641</v>
      </c>
      <c r="J93" s="7">
        <v>7.33333333333333</v>
      </c>
      <c r="K93" s="7">
        <v>1.6</v>
      </c>
      <c r="L93" s="8">
        <v>218.6</v>
      </c>
      <c r="M93" s="8">
        <v>81.4</v>
      </c>
      <c r="N93" s="8">
        <f t="shared" ref="N93:N120" si="13">L93+M93</f>
        <v>300</v>
      </c>
      <c r="O93" s="8">
        <v>690.8</v>
      </c>
      <c r="P93" s="8">
        <v>288.8</v>
      </c>
      <c r="Q93" s="8">
        <f t="shared" ref="Q93:Q120" si="14">P93+O93</f>
        <v>979.6</v>
      </c>
      <c r="R93" s="6">
        <v>0.0140475383371369</v>
      </c>
      <c r="S93" s="6">
        <v>0.0135608955913597</v>
      </c>
      <c r="T93" s="6">
        <v>0.0162473297523504</v>
      </c>
      <c r="U93" s="6">
        <v>0.0125166035251536</v>
      </c>
      <c r="V93" s="6">
        <v>0.0219496652245301</v>
      </c>
      <c r="W93" s="6">
        <v>0.0185097954655103</v>
      </c>
      <c r="X93" s="6">
        <v>1.33333333333333</v>
      </c>
      <c r="Y93" s="6">
        <v>0.388730126323019</v>
      </c>
      <c r="AA93" s="4"/>
      <c r="AB93" s="5" t="s">
        <v>16</v>
      </c>
      <c r="AC93" s="4"/>
      <c r="AD93" s="4"/>
      <c r="AE93" s="4"/>
      <c r="AF93" s="4"/>
    </row>
    <row r="94">
      <c r="C94" s="5" t="s">
        <v>35</v>
      </c>
      <c r="D94" s="6">
        <v>0.0</v>
      </c>
      <c r="E94" s="6"/>
      <c r="F94" s="6">
        <v>1.0</v>
      </c>
      <c r="G94" s="6">
        <v>0.0</v>
      </c>
      <c r="H94" s="6">
        <v>0.0</v>
      </c>
      <c r="I94" s="6">
        <v>0.0</v>
      </c>
      <c r="J94" s="7">
        <v>0.0</v>
      </c>
      <c r="K94" s="7">
        <v>0.0</v>
      </c>
      <c r="L94" s="8">
        <v>0.0</v>
      </c>
      <c r="M94" s="8">
        <v>0.0</v>
      </c>
      <c r="N94" s="8">
        <f t="shared" si="13"/>
        <v>0</v>
      </c>
      <c r="O94" s="8">
        <v>33.6</v>
      </c>
      <c r="P94" s="8">
        <v>238.2</v>
      </c>
      <c r="Q94" s="8">
        <f t="shared" si="14"/>
        <v>271.8</v>
      </c>
      <c r="R94" s="6">
        <v>0.0</v>
      </c>
      <c r="S94" s="6"/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0.0</v>
      </c>
      <c r="AB94" s="5" t="s">
        <v>35</v>
      </c>
      <c r="AC94" s="1"/>
      <c r="AD94" s="1"/>
      <c r="AE94" s="1"/>
    </row>
    <row r="95">
      <c r="C95" s="5" t="s">
        <v>36</v>
      </c>
      <c r="D95" s="6">
        <v>0.0</v>
      </c>
      <c r="E95" s="6"/>
      <c r="F95" s="6">
        <v>1.0</v>
      </c>
      <c r="G95" s="6">
        <v>0.0</v>
      </c>
      <c r="H95" s="6">
        <v>0.0</v>
      </c>
      <c r="I95" s="6">
        <v>0.0</v>
      </c>
      <c r="J95" s="7">
        <v>0.0</v>
      </c>
      <c r="K95" s="7">
        <v>0.0</v>
      </c>
      <c r="L95" s="8">
        <v>0.0</v>
      </c>
      <c r="M95" s="8">
        <v>0.0</v>
      </c>
      <c r="N95" s="8">
        <f t="shared" si="13"/>
        <v>0</v>
      </c>
      <c r="O95" s="8">
        <v>11.0</v>
      </c>
      <c r="P95" s="8">
        <v>882.4</v>
      </c>
      <c r="Q95" s="8">
        <f t="shared" si="14"/>
        <v>893.4</v>
      </c>
      <c r="R95" s="6">
        <v>0.0</v>
      </c>
      <c r="S95" s="6"/>
      <c r="T95" s="6">
        <v>0.0</v>
      </c>
      <c r="U95" s="6">
        <v>0.0</v>
      </c>
      <c r="V95" s="6">
        <v>0.0</v>
      </c>
      <c r="W95" s="6">
        <v>0.0</v>
      </c>
      <c r="X95" s="6">
        <v>0.0</v>
      </c>
      <c r="Y95" s="6">
        <v>0.0</v>
      </c>
      <c r="AB95" s="5" t="s">
        <v>36</v>
      </c>
      <c r="AC95" s="1"/>
      <c r="AD95" s="1"/>
      <c r="AE95" s="1"/>
    </row>
    <row r="96">
      <c r="A96" s="4"/>
      <c r="B96" s="4"/>
      <c r="C96" s="5" t="s">
        <v>17</v>
      </c>
      <c r="D96" s="6">
        <v>0.954</v>
      </c>
      <c r="E96" s="6">
        <v>0.941035514016349</v>
      </c>
      <c r="F96" s="6">
        <v>0.780849988313688</v>
      </c>
      <c r="G96" s="6">
        <v>0.7552109347365</v>
      </c>
      <c r="H96" s="6">
        <v>0.861897057991169</v>
      </c>
      <c r="I96" s="6">
        <v>0.79468168667462</v>
      </c>
      <c r="J96" s="7">
        <v>3.4</v>
      </c>
      <c r="K96" s="7">
        <v>1.2</v>
      </c>
      <c r="L96" s="8">
        <v>14.6</v>
      </c>
      <c r="M96" s="8">
        <v>285.4</v>
      </c>
      <c r="N96" s="8">
        <f t="shared" si="13"/>
        <v>300</v>
      </c>
      <c r="O96" s="8">
        <v>106.0</v>
      </c>
      <c r="P96" s="8">
        <v>716.2</v>
      </c>
      <c r="Q96" s="8">
        <f t="shared" si="14"/>
        <v>822.2</v>
      </c>
      <c r="R96" s="6">
        <v>0.00573488351136175</v>
      </c>
      <c r="S96" s="6">
        <v>0.0228430123324539</v>
      </c>
      <c r="T96" s="6">
        <v>0.0456650287153835</v>
      </c>
      <c r="U96" s="6">
        <v>0.0285270253776883</v>
      </c>
      <c r="V96" s="6">
        <v>0.0307629074040007</v>
      </c>
      <c r="W96" s="6">
        <v>0.0146130816801279</v>
      </c>
      <c r="X96" s="6">
        <v>0.853749898324379</v>
      </c>
      <c r="Y96" s="6">
        <v>0.452155332208351</v>
      </c>
      <c r="AA96" s="4"/>
      <c r="AB96" s="5" t="s">
        <v>17</v>
      </c>
      <c r="AC96" s="4"/>
      <c r="AD96" s="4"/>
      <c r="AE96" s="4"/>
    </row>
    <row r="97">
      <c r="C97" s="5" t="s">
        <v>18</v>
      </c>
      <c r="D97" s="6">
        <v>0.88966530298745</v>
      </c>
      <c r="E97" s="6">
        <v>0.764394981565952</v>
      </c>
      <c r="F97" s="6">
        <v>0.733897951626906</v>
      </c>
      <c r="G97" s="6">
        <v>0.761619297454605</v>
      </c>
      <c r="H97" s="6">
        <v>0.76253422570613</v>
      </c>
      <c r="I97" s="6">
        <v>0.761057578850264</v>
      </c>
      <c r="J97" s="7">
        <v>5.52089523617546</v>
      </c>
      <c r="K97" s="7">
        <v>5.51257446507943</v>
      </c>
      <c r="L97" s="8">
        <v>39.6</v>
      </c>
      <c r="M97" s="8">
        <v>254.0</v>
      </c>
      <c r="N97" s="8">
        <f t="shared" si="13"/>
        <v>293.6</v>
      </c>
      <c r="O97" s="8">
        <v>187.6</v>
      </c>
      <c r="P97" s="8">
        <v>689.4</v>
      </c>
      <c r="Q97" s="8">
        <f t="shared" si="14"/>
        <v>877</v>
      </c>
      <c r="R97" s="6">
        <v>0.011623613271775</v>
      </c>
      <c r="S97" s="6">
        <v>0.0561840156145118</v>
      </c>
      <c r="T97" s="6">
        <v>0.0508878824364746</v>
      </c>
      <c r="U97" s="6">
        <v>0.0412901828903039</v>
      </c>
      <c r="V97" s="6">
        <v>0.0391152644372838</v>
      </c>
      <c r="W97" s="6">
        <v>0.0373732577816461</v>
      </c>
      <c r="X97" s="6">
        <v>0.961492393466277</v>
      </c>
      <c r="Y97" s="6">
        <v>1.01074776066488</v>
      </c>
      <c r="AB97" s="5" t="s">
        <v>18</v>
      </c>
      <c r="AC97" s="4"/>
      <c r="AD97" s="4"/>
      <c r="AE97" s="4"/>
      <c r="AF97" s="4"/>
    </row>
    <row r="98">
      <c r="C98" s="5" t="s">
        <v>19</v>
      </c>
      <c r="D98" s="6">
        <v>0.948</v>
      </c>
      <c r="E98" s="6">
        <v>0.957596900864142</v>
      </c>
      <c r="F98" s="6">
        <v>0.784738035036102</v>
      </c>
      <c r="G98" s="6">
        <v>0.728455065762825</v>
      </c>
      <c r="H98" s="6">
        <v>0.920597130360061</v>
      </c>
      <c r="I98" s="6">
        <v>0.786454045892429</v>
      </c>
      <c r="J98" s="7">
        <v>4.66666666666666</v>
      </c>
      <c r="K98" s="7">
        <v>0.533333333333333</v>
      </c>
      <c r="L98" s="8">
        <v>13.6</v>
      </c>
      <c r="M98" s="8">
        <v>286.4</v>
      </c>
      <c r="N98" s="8">
        <f t="shared" si="13"/>
        <v>300</v>
      </c>
      <c r="O98" s="8">
        <v>104.0</v>
      </c>
      <c r="P98" s="8">
        <v>621.6</v>
      </c>
      <c r="Q98" s="8">
        <f t="shared" si="14"/>
        <v>725.6</v>
      </c>
      <c r="R98" s="6">
        <v>0.00718021974284603</v>
      </c>
      <c r="S98" s="6">
        <v>0.0266836547891158</v>
      </c>
      <c r="T98" s="6">
        <v>0.0579376346318424</v>
      </c>
      <c r="U98" s="6">
        <v>0.0437222840557566</v>
      </c>
      <c r="V98" s="6">
        <v>0.0312486560235485</v>
      </c>
      <c r="W98" s="6">
        <v>0.0353929497087709</v>
      </c>
      <c r="X98" s="6">
        <v>1.01105005920687</v>
      </c>
      <c r="Y98" s="6">
        <v>0.452155332208351</v>
      </c>
      <c r="AB98" s="5" t="s">
        <v>19</v>
      </c>
      <c r="AC98" s="4"/>
      <c r="AD98" s="4"/>
      <c r="AE98" s="4"/>
    </row>
    <row r="99">
      <c r="A99" s="4"/>
      <c r="B99" s="4"/>
      <c r="C99" s="5" t="s">
        <v>20</v>
      </c>
      <c r="D99" s="6">
        <v>0.660697073388419</v>
      </c>
      <c r="E99" s="6">
        <v>0.612996767238804</v>
      </c>
      <c r="F99" s="6">
        <v>0.601549903518185</v>
      </c>
      <c r="G99" s="6">
        <v>0.67309786626208</v>
      </c>
      <c r="H99" s="6">
        <v>0.535971814533165</v>
      </c>
      <c r="I99" s="6">
        <v>0.480786114729014</v>
      </c>
      <c r="J99" s="7">
        <v>2.12566376897755</v>
      </c>
      <c r="K99" s="7">
        <v>31.8046288921805</v>
      </c>
      <c r="L99" s="8">
        <v>99.2</v>
      </c>
      <c r="M99" s="8">
        <v>180.4</v>
      </c>
      <c r="N99" s="8">
        <f t="shared" si="13"/>
        <v>279.6</v>
      </c>
      <c r="O99" s="8">
        <v>200.6</v>
      </c>
      <c r="P99" s="8">
        <v>695.8</v>
      </c>
      <c r="Q99" s="8">
        <f t="shared" si="14"/>
        <v>896.4</v>
      </c>
      <c r="R99" s="6">
        <v>0.0325557706581372</v>
      </c>
      <c r="S99" s="6">
        <v>0.0331517903606329</v>
      </c>
      <c r="T99" s="6">
        <v>0.0259700716387624</v>
      </c>
      <c r="U99" s="6">
        <v>0.0707442983173203</v>
      </c>
      <c r="V99" s="6">
        <v>0.0191104053401322</v>
      </c>
      <c r="W99" s="6">
        <v>0.0399098616238604</v>
      </c>
      <c r="X99" s="6">
        <v>1.75526614454958</v>
      </c>
      <c r="Y99" s="6">
        <v>3.59561239813084</v>
      </c>
      <c r="AA99" s="4"/>
      <c r="AB99" s="5" t="s">
        <v>20</v>
      </c>
      <c r="AC99" s="4"/>
      <c r="AD99" s="4"/>
      <c r="AE99" s="4"/>
      <c r="AF99" s="4"/>
    </row>
    <row r="100">
      <c r="C100" s="5" t="s">
        <v>37</v>
      </c>
      <c r="D100" s="6">
        <v>0.0</v>
      </c>
      <c r="E100" s="6"/>
      <c r="F100" s="6">
        <v>1.0</v>
      </c>
      <c r="G100" s="6">
        <v>0.0</v>
      </c>
      <c r="H100" s="6">
        <v>0.0</v>
      </c>
      <c r="I100" s="6">
        <v>0.0</v>
      </c>
      <c r="J100" s="7">
        <v>0.0</v>
      </c>
      <c r="K100" s="7">
        <v>0.0</v>
      </c>
      <c r="L100" s="8">
        <v>0.0</v>
      </c>
      <c r="M100" s="8">
        <v>0.0</v>
      </c>
      <c r="N100" s="8">
        <f t="shared" si="13"/>
        <v>0</v>
      </c>
      <c r="O100" s="8">
        <v>48.8</v>
      </c>
      <c r="P100" s="8">
        <v>638.4</v>
      </c>
      <c r="Q100" s="8">
        <f t="shared" si="14"/>
        <v>687.2</v>
      </c>
      <c r="R100" s="6">
        <v>0.0</v>
      </c>
      <c r="S100" s="6"/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AB100" s="5" t="s">
        <v>37</v>
      </c>
      <c r="AC100" s="1"/>
      <c r="AD100" s="1"/>
      <c r="AE100" s="1"/>
    </row>
    <row r="101">
      <c r="C101" s="5" t="s">
        <v>38</v>
      </c>
      <c r="D101" s="6">
        <v>0.0</v>
      </c>
      <c r="E101" s="6"/>
      <c r="F101" s="6">
        <v>1.0</v>
      </c>
      <c r="G101" s="6">
        <v>0.0</v>
      </c>
      <c r="H101" s="6">
        <v>0.0</v>
      </c>
      <c r="I101" s="6">
        <v>0.0</v>
      </c>
      <c r="J101" s="7">
        <v>0.0</v>
      </c>
      <c r="K101" s="7">
        <v>0.0</v>
      </c>
      <c r="L101" s="8">
        <v>0.0</v>
      </c>
      <c r="M101" s="8">
        <v>0.0</v>
      </c>
      <c r="N101" s="8">
        <f t="shared" si="13"/>
        <v>0</v>
      </c>
      <c r="O101" s="8">
        <v>9.2</v>
      </c>
      <c r="P101" s="8">
        <v>365.0</v>
      </c>
      <c r="Q101" s="8">
        <f t="shared" si="14"/>
        <v>374.2</v>
      </c>
      <c r="R101" s="6">
        <v>0.0</v>
      </c>
      <c r="S101" s="6"/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AB101" s="5" t="s">
        <v>38</v>
      </c>
      <c r="AC101" s="1"/>
      <c r="AD101" s="1"/>
      <c r="AE101" s="1"/>
    </row>
    <row r="102">
      <c r="C102" s="5" t="s">
        <v>21</v>
      </c>
      <c r="D102" s="6">
        <v>0.927999999999999</v>
      </c>
      <c r="E102" s="6">
        <v>0.92433583399111</v>
      </c>
      <c r="F102" s="6">
        <v>0.806605725405667</v>
      </c>
      <c r="G102" s="6">
        <v>0.765859848170316</v>
      </c>
      <c r="H102" s="6">
        <v>0.87831414600468</v>
      </c>
      <c r="I102" s="6">
        <v>0.806824593167944</v>
      </c>
      <c r="J102" s="7">
        <v>5.66666666666666</v>
      </c>
      <c r="K102" s="7">
        <v>1.53333333333333</v>
      </c>
      <c r="L102" s="8">
        <v>25.6</v>
      </c>
      <c r="M102" s="8">
        <v>274.4</v>
      </c>
      <c r="N102" s="8">
        <f t="shared" si="13"/>
        <v>300</v>
      </c>
      <c r="O102" s="8">
        <v>217.8</v>
      </c>
      <c r="P102" s="8">
        <v>903.2</v>
      </c>
      <c r="Q102" s="8">
        <f t="shared" si="14"/>
        <v>1121</v>
      </c>
      <c r="R102" s="6">
        <v>0.00618241233033045</v>
      </c>
      <c r="S102" s="6">
        <v>0.0236995095607225</v>
      </c>
      <c r="T102" s="6">
        <v>0.0386459834234258</v>
      </c>
      <c r="U102" s="6">
        <v>0.0323865749600206</v>
      </c>
      <c r="V102" s="6">
        <v>0.0222051089560166</v>
      </c>
      <c r="W102" s="6">
        <v>0.0232188526574035</v>
      </c>
      <c r="X102" s="6">
        <v>1.09544511501033</v>
      </c>
      <c r="Y102" s="6">
        <v>0.541602560309063</v>
      </c>
      <c r="AB102" s="5" t="s">
        <v>21</v>
      </c>
      <c r="AC102" s="4"/>
      <c r="AD102" s="4"/>
      <c r="AE102" s="4"/>
    </row>
    <row r="103">
      <c r="C103" s="5" t="s">
        <v>39</v>
      </c>
      <c r="D103" s="6">
        <v>0.0</v>
      </c>
      <c r="E103" s="6"/>
      <c r="F103" s="6">
        <v>1.0</v>
      </c>
      <c r="G103" s="6">
        <v>0.0</v>
      </c>
      <c r="H103" s="6">
        <v>0.0</v>
      </c>
      <c r="I103" s="6">
        <v>0.0</v>
      </c>
      <c r="J103" s="7">
        <v>0.0</v>
      </c>
      <c r="K103" s="7">
        <v>0.0</v>
      </c>
      <c r="L103" s="8">
        <v>0.0</v>
      </c>
      <c r="M103" s="8">
        <v>0.0</v>
      </c>
      <c r="N103" s="8">
        <f t="shared" si="13"/>
        <v>0</v>
      </c>
      <c r="O103" s="8">
        <v>97.0</v>
      </c>
      <c r="P103" s="8">
        <v>171.0</v>
      </c>
      <c r="Q103" s="8">
        <f t="shared" si="14"/>
        <v>268</v>
      </c>
      <c r="R103" s="6">
        <v>0.0</v>
      </c>
      <c r="S103" s="6"/>
      <c r="T103" s="6">
        <v>9.93013661298909E-17</v>
      </c>
      <c r="U103" s="6">
        <v>0.0</v>
      </c>
      <c r="V103" s="6">
        <v>0.0</v>
      </c>
      <c r="W103" s="6">
        <v>0.0</v>
      </c>
      <c r="X103" s="6">
        <v>0.0</v>
      </c>
      <c r="Y103" s="6">
        <v>0.0</v>
      </c>
      <c r="AB103" s="5" t="s">
        <v>39</v>
      </c>
      <c r="AC103" s="1"/>
      <c r="AD103" s="1"/>
      <c r="AE103" s="1"/>
    </row>
    <row r="104">
      <c r="C104" s="5" t="s">
        <v>40</v>
      </c>
      <c r="D104" s="6">
        <v>0.0</v>
      </c>
      <c r="E104" s="6"/>
      <c r="F104" s="6">
        <v>1.0</v>
      </c>
      <c r="G104" s="6">
        <v>0.0</v>
      </c>
      <c r="H104" s="6">
        <v>0.0</v>
      </c>
      <c r="I104" s="6">
        <v>0.0</v>
      </c>
      <c r="J104" s="7">
        <v>0.0</v>
      </c>
      <c r="K104" s="7">
        <v>0.0</v>
      </c>
      <c r="L104" s="8">
        <v>0.0</v>
      </c>
      <c r="M104" s="8">
        <v>0.0</v>
      </c>
      <c r="N104" s="8">
        <f t="shared" si="13"/>
        <v>0</v>
      </c>
      <c r="O104" s="8">
        <v>15.8</v>
      </c>
      <c r="P104" s="8">
        <v>226.2</v>
      </c>
      <c r="Q104" s="8">
        <f t="shared" si="14"/>
        <v>242</v>
      </c>
      <c r="R104" s="6">
        <v>0.0</v>
      </c>
      <c r="S104" s="6"/>
      <c r="T104" s="6">
        <v>9.93013661298909E-17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AB104" s="5" t="s">
        <v>40</v>
      </c>
      <c r="AC104" s="1"/>
      <c r="AD104" s="1"/>
      <c r="AE104" s="1"/>
    </row>
    <row r="105">
      <c r="C105" s="5" t="s">
        <v>22</v>
      </c>
      <c r="D105" s="6">
        <v>0.916</v>
      </c>
      <c r="E105" s="6">
        <v>0.448423189054992</v>
      </c>
      <c r="F105" s="6">
        <v>0.544623745852614</v>
      </c>
      <c r="G105" s="6">
        <v>0.458308807134894</v>
      </c>
      <c r="H105" s="6">
        <v>0.499640287769784</v>
      </c>
      <c r="I105" s="6">
        <v>0.478056835604536</v>
      </c>
      <c r="J105" s="7">
        <v>0.0666666666666666</v>
      </c>
      <c r="K105" s="7">
        <v>8.33333333333333</v>
      </c>
      <c r="L105" s="8">
        <v>25.0</v>
      </c>
      <c r="M105" s="8">
        <v>275.0</v>
      </c>
      <c r="N105" s="8">
        <f t="shared" si="13"/>
        <v>300</v>
      </c>
      <c r="O105" s="8">
        <v>54.4</v>
      </c>
      <c r="P105" s="8">
        <v>826.8</v>
      </c>
      <c r="Q105" s="8">
        <f t="shared" si="14"/>
        <v>881.2</v>
      </c>
      <c r="R105" s="6">
        <v>0.0125432584814845</v>
      </c>
      <c r="S105" s="6">
        <v>0.242008664075176</v>
      </c>
      <c r="T105" s="6">
        <v>0.0899453571191912</v>
      </c>
      <c r="U105" s="6">
        <v>0.0064791485841482</v>
      </c>
      <c r="V105" s="6">
        <v>7.1942446043165E-4</v>
      </c>
      <c r="W105" s="6">
        <v>0.00343640035387176</v>
      </c>
      <c r="X105" s="6">
        <v>0.133333333333333</v>
      </c>
      <c r="Y105" s="6">
        <v>1.29957257930786</v>
      </c>
      <c r="AB105" s="5" t="s">
        <v>22</v>
      </c>
      <c r="AC105" s="1"/>
      <c r="AD105" s="1"/>
      <c r="AE105" s="1"/>
    </row>
    <row r="106">
      <c r="C106" s="5" t="s">
        <v>23</v>
      </c>
      <c r="D106" s="6">
        <v>0.944773063464891</v>
      </c>
      <c r="E106" s="6">
        <v>0.912082257332532</v>
      </c>
      <c r="F106" s="6">
        <v>0.779403557201662</v>
      </c>
      <c r="G106" s="6">
        <v>0.747711807024028</v>
      </c>
      <c r="H106" s="6">
        <v>0.838532827469657</v>
      </c>
      <c r="I106" s="6">
        <v>0.782810057801619</v>
      </c>
      <c r="J106" s="7">
        <v>3.91111757778325</v>
      </c>
      <c r="K106" s="7">
        <v>1.6115760757276</v>
      </c>
      <c r="L106" s="8">
        <v>16.4</v>
      </c>
      <c r="M106" s="8">
        <v>269.8</v>
      </c>
      <c r="N106" s="8">
        <f t="shared" si="13"/>
        <v>286.2</v>
      </c>
      <c r="O106" s="8">
        <v>188.4</v>
      </c>
      <c r="P106" s="8">
        <v>761.2</v>
      </c>
      <c r="Q106" s="8">
        <f t="shared" si="14"/>
        <v>949.6</v>
      </c>
      <c r="R106" s="6">
        <v>0.00719276540516531</v>
      </c>
      <c r="S106" s="6">
        <v>0.0563485516604677</v>
      </c>
      <c r="T106" s="6">
        <v>0.050220108623908</v>
      </c>
      <c r="U106" s="6">
        <v>0.0339797574662529</v>
      </c>
      <c r="V106" s="6">
        <v>0.0244079668695795</v>
      </c>
      <c r="W106" s="6">
        <v>0.0285173139038513</v>
      </c>
      <c r="X106" s="6">
        <v>0.725535412108684</v>
      </c>
      <c r="Y106" s="6">
        <v>0.373730807905186</v>
      </c>
      <c r="AB106" s="5" t="s">
        <v>23</v>
      </c>
      <c r="AC106" s="4"/>
      <c r="AD106" s="4"/>
      <c r="AE106" s="4"/>
    </row>
    <row r="107">
      <c r="A107" s="4"/>
      <c r="B107" s="4"/>
      <c r="C107" s="5" t="s">
        <v>24</v>
      </c>
      <c r="D107" s="6">
        <v>0.902666666666666</v>
      </c>
      <c r="E107" s="6">
        <v>0.349204972727713</v>
      </c>
      <c r="F107" s="6">
        <v>0.475391050840929</v>
      </c>
      <c r="G107" s="6">
        <v>0.451333333333333</v>
      </c>
      <c r="H107" s="6">
        <v>0.5</v>
      </c>
      <c r="I107" s="6">
        <v>0.474404845510945</v>
      </c>
      <c r="J107" s="7">
        <v>0.0</v>
      </c>
      <c r="K107" s="7">
        <v>9.73333333333333</v>
      </c>
      <c r="L107" s="8">
        <v>29.2</v>
      </c>
      <c r="M107" s="8">
        <v>270.8</v>
      </c>
      <c r="N107" s="8">
        <f t="shared" si="13"/>
        <v>300</v>
      </c>
      <c r="O107" s="8">
        <v>106.2</v>
      </c>
      <c r="P107" s="8">
        <v>925.4</v>
      </c>
      <c r="Q107" s="8">
        <f t="shared" si="14"/>
        <v>1031.6</v>
      </c>
      <c r="R107" s="6">
        <v>0.0108320512061812</v>
      </c>
      <c r="S107" s="6">
        <v>0.179961096566737</v>
      </c>
      <c r="T107" s="6">
        <v>0.0485442026043483</v>
      </c>
      <c r="U107" s="6">
        <v>0.00541602560309065</v>
      </c>
      <c r="V107" s="6">
        <v>0.0</v>
      </c>
      <c r="W107" s="6">
        <v>0.00298939293961746</v>
      </c>
      <c r="X107" s="6">
        <v>0.0</v>
      </c>
      <c r="Y107" s="6">
        <v>1.08320512061812</v>
      </c>
      <c r="AA107" s="4"/>
      <c r="AB107" s="5" t="s">
        <v>24</v>
      </c>
      <c r="AC107" s="4"/>
      <c r="AD107" s="4"/>
      <c r="AE107" s="4"/>
      <c r="AF107" s="4"/>
    </row>
    <row r="108">
      <c r="C108" s="5" t="s">
        <v>41</v>
      </c>
      <c r="D108" s="6">
        <v>0.0</v>
      </c>
      <c r="E108" s="6"/>
      <c r="F108" s="6">
        <v>1.0</v>
      </c>
      <c r="G108" s="6">
        <v>0.0</v>
      </c>
      <c r="H108" s="6">
        <v>0.0</v>
      </c>
      <c r="I108" s="6">
        <v>0.0</v>
      </c>
      <c r="J108" s="7">
        <v>0.0</v>
      </c>
      <c r="K108" s="7">
        <v>0.0</v>
      </c>
      <c r="L108" s="8">
        <v>0.0</v>
      </c>
      <c r="M108" s="8">
        <v>0.0</v>
      </c>
      <c r="N108" s="8">
        <f t="shared" si="13"/>
        <v>0</v>
      </c>
      <c r="O108" s="8">
        <v>229.6</v>
      </c>
      <c r="P108" s="8">
        <v>35.4</v>
      </c>
      <c r="Q108" s="8">
        <f t="shared" si="14"/>
        <v>265</v>
      </c>
      <c r="R108" s="6">
        <v>0.0</v>
      </c>
      <c r="S108" s="6"/>
      <c r="T108" s="6">
        <v>0.0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AB108" s="5" t="s">
        <v>41</v>
      </c>
      <c r="AC108" s="1"/>
      <c r="AD108" s="1"/>
      <c r="AE108" s="1"/>
    </row>
    <row r="109">
      <c r="C109" s="5" t="s">
        <v>42</v>
      </c>
      <c r="D109" s="6">
        <v>0.0</v>
      </c>
      <c r="E109" s="6"/>
      <c r="F109" s="6">
        <v>1.0</v>
      </c>
      <c r="G109" s="6">
        <v>0.0</v>
      </c>
      <c r="H109" s="6">
        <v>0.0</v>
      </c>
      <c r="I109" s="6">
        <v>0.0</v>
      </c>
      <c r="J109" s="7">
        <v>0.0</v>
      </c>
      <c r="K109" s="7">
        <v>0.0</v>
      </c>
      <c r="L109" s="8">
        <v>0.0</v>
      </c>
      <c r="M109" s="8">
        <v>0.0</v>
      </c>
      <c r="N109" s="8">
        <f t="shared" si="13"/>
        <v>0</v>
      </c>
      <c r="O109" s="8">
        <v>169.2</v>
      </c>
      <c r="P109" s="8">
        <v>40.2</v>
      </c>
      <c r="Q109" s="8">
        <f t="shared" si="14"/>
        <v>209.4</v>
      </c>
      <c r="R109" s="6">
        <v>0.0</v>
      </c>
      <c r="S109" s="6"/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AB109" s="5" t="s">
        <v>42</v>
      </c>
      <c r="AC109" s="1"/>
      <c r="AD109" s="1"/>
      <c r="AE109" s="1"/>
    </row>
    <row r="110">
      <c r="C110" s="5" t="s">
        <v>43</v>
      </c>
      <c r="D110" s="6">
        <v>0.0</v>
      </c>
      <c r="E110" s="6"/>
      <c r="F110" s="6">
        <v>1.0</v>
      </c>
      <c r="G110" s="6">
        <v>0.0</v>
      </c>
      <c r="H110" s="6">
        <v>0.0</v>
      </c>
      <c r="I110" s="6">
        <v>0.0</v>
      </c>
      <c r="J110" s="7">
        <v>0.0</v>
      </c>
      <c r="K110" s="7">
        <v>0.0</v>
      </c>
      <c r="L110" s="8">
        <v>0.0</v>
      </c>
      <c r="M110" s="8">
        <v>0.0</v>
      </c>
      <c r="N110" s="8">
        <f t="shared" si="13"/>
        <v>0</v>
      </c>
      <c r="O110" s="8">
        <v>115.8</v>
      </c>
      <c r="P110" s="8">
        <v>378.4</v>
      </c>
      <c r="Q110" s="8">
        <f t="shared" si="14"/>
        <v>494.2</v>
      </c>
      <c r="R110" s="6">
        <v>0.0</v>
      </c>
      <c r="S110" s="6"/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AB110" s="5" t="s">
        <v>43</v>
      </c>
      <c r="AC110" s="4"/>
      <c r="AD110" s="4"/>
      <c r="AE110" s="4"/>
    </row>
    <row r="111">
      <c r="A111" s="4"/>
      <c r="B111" s="4"/>
      <c r="C111" s="5" t="s">
        <v>25</v>
      </c>
      <c r="D111" s="6">
        <v>0.880666666666666</v>
      </c>
      <c r="E111" s="6">
        <v>0.940905806203966</v>
      </c>
      <c r="F111" s="6">
        <v>0.927191013129451</v>
      </c>
      <c r="G111" s="6">
        <v>0.879672069234217</v>
      </c>
      <c r="H111" s="6">
        <v>0.880040752731456</v>
      </c>
      <c r="I111" s="6">
        <v>0.879429057638597</v>
      </c>
      <c r="J111" s="7">
        <v>6.46666666666666</v>
      </c>
      <c r="K111" s="7">
        <v>5.46666666666666</v>
      </c>
      <c r="L111" s="8">
        <v>134.0</v>
      </c>
      <c r="M111" s="8">
        <v>166.0</v>
      </c>
      <c r="N111" s="8">
        <f t="shared" si="13"/>
        <v>300</v>
      </c>
      <c r="O111" s="8">
        <v>496.8</v>
      </c>
      <c r="P111" s="8">
        <v>532.8</v>
      </c>
      <c r="Q111" s="8">
        <f t="shared" si="14"/>
        <v>1029.6</v>
      </c>
      <c r="R111" s="6">
        <v>0.0271129325435503</v>
      </c>
      <c r="S111" s="6">
        <v>0.00897615720174993</v>
      </c>
      <c r="T111" s="6">
        <v>0.00744563410640037</v>
      </c>
      <c r="U111" s="6">
        <v>0.0269965219247948</v>
      </c>
      <c r="V111" s="6">
        <v>0.0264200182589419</v>
      </c>
      <c r="W111" s="6">
        <v>0.0267035842121742</v>
      </c>
      <c r="X111" s="6">
        <v>1.89267594221045</v>
      </c>
      <c r="Y111" s="6">
        <v>1.40791413879619</v>
      </c>
      <c r="AA111" s="4"/>
      <c r="AB111" s="5" t="s">
        <v>25</v>
      </c>
      <c r="AC111" s="4"/>
      <c r="AD111" s="4"/>
      <c r="AE111" s="4"/>
      <c r="AF111" s="4"/>
    </row>
    <row r="112">
      <c r="A112" s="4"/>
      <c r="B112" s="4"/>
      <c r="C112" s="5" t="s">
        <v>26</v>
      </c>
      <c r="D112" s="6">
        <v>0.366666666666666</v>
      </c>
      <c r="E112" s="6">
        <v>0.65295638543102</v>
      </c>
      <c r="F112" s="6">
        <v>0.625434718518347</v>
      </c>
      <c r="G112" s="6">
        <v>0.621179538544491</v>
      </c>
      <c r="H112" s="6">
        <v>0.55939031078892</v>
      </c>
      <c r="I112" s="6">
        <v>0.338597521940477</v>
      </c>
      <c r="J112" s="7">
        <v>0.333333333333333</v>
      </c>
      <c r="K112" s="7">
        <v>63.0</v>
      </c>
      <c r="L112" s="8">
        <v>217.0</v>
      </c>
      <c r="M112" s="8">
        <v>83.0</v>
      </c>
      <c r="N112" s="8">
        <f t="shared" si="13"/>
        <v>300</v>
      </c>
      <c r="O112" s="8">
        <v>477.4</v>
      </c>
      <c r="P112" s="8">
        <v>397.2</v>
      </c>
      <c r="Q112" s="8">
        <f t="shared" si="14"/>
        <v>874.6</v>
      </c>
      <c r="R112" s="6">
        <v>0.093404734593298</v>
      </c>
      <c r="S112" s="6">
        <v>0.177711311715855</v>
      </c>
      <c r="T112" s="6">
        <v>0.116910888525669</v>
      </c>
      <c r="U112" s="6">
        <v>0.0587935715592728</v>
      </c>
      <c r="V112" s="6">
        <v>0.0540922232703749</v>
      </c>
      <c r="W112" s="6">
        <v>0.110421909860411</v>
      </c>
      <c r="X112" s="6">
        <v>0.298142396999971</v>
      </c>
      <c r="Y112" s="6">
        <v>9.56149686096388</v>
      </c>
      <c r="AA112" s="4"/>
      <c r="AB112" s="5" t="s">
        <v>26</v>
      </c>
      <c r="AC112" s="4"/>
      <c r="AD112" s="4"/>
      <c r="AE112" s="4"/>
      <c r="AF112" s="4"/>
    </row>
    <row r="113">
      <c r="A113" s="4"/>
      <c r="B113" s="4"/>
      <c r="C113" s="5" t="s">
        <v>27</v>
      </c>
      <c r="D113" s="6">
        <v>0.849333333333333</v>
      </c>
      <c r="E113" s="6">
        <v>0.87113789919548</v>
      </c>
      <c r="F113" s="6">
        <v>0.806177234737171</v>
      </c>
      <c r="G113" s="6">
        <v>0.794015850425458</v>
      </c>
      <c r="H113" s="6">
        <v>0.6843631719491</v>
      </c>
      <c r="I113" s="6">
        <v>0.712091334966834</v>
      </c>
      <c r="J113" s="7">
        <v>3.53333333333333</v>
      </c>
      <c r="K113" s="7">
        <v>11.5333333333333</v>
      </c>
      <c r="L113" s="8">
        <v>58.6</v>
      </c>
      <c r="M113" s="8">
        <v>241.4</v>
      </c>
      <c r="N113" s="8">
        <f t="shared" si="13"/>
        <v>300</v>
      </c>
      <c r="O113" s="8">
        <v>223.4</v>
      </c>
      <c r="P113" s="8">
        <v>573.8</v>
      </c>
      <c r="Q113" s="8">
        <f t="shared" si="14"/>
        <v>797.2</v>
      </c>
      <c r="R113" s="6">
        <v>0.0038873012632302</v>
      </c>
      <c r="S113" s="6">
        <v>0.0290700536810935</v>
      </c>
      <c r="T113" s="6">
        <v>0.0241193180243346</v>
      </c>
      <c r="U113" s="6">
        <v>0.0413788730116971</v>
      </c>
      <c r="V113" s="6">
        <v>0.0213240742452655</v>
      </c>
      <c r="W113" s="6">
        <v>0.0114429960740915</v>
      </c>
      <c r="X113" s="6">
        <v>2.07203603572267</v>
      </c>
      <c r="Y113" s="6">
        <v>1.77137736741152</v>
      </c>
      <c r="AA113" s="4"/>
      <c r="AB113" s="5" t="s">
        <v>27</v>
      </c>
      <c r="AC113" s="4"/>
      <c r="AD113" s="4"/>
      <c r="AE113" s="4"/>
      <c r="AF113" s="4"/>
    </row>
    <row r="114">
      <c r="C114" s="5" t="s">
        <v>44</v>
      </c>
      <c r="D114" s="6">
        <v>0.0</v>
      </c>
      <c r="E114" s="6"/>
      <c r="F114" s="6">
        <v>1.0</v>
      </c>
      <c r="G114" s="6">
        <v>0.0</v>
      </c>
      <c r="H114" s="6">
        <v>0.0</v>
      </c>
      <c r="I114" s="6">
        <v>0.0</v>
      </c>
      <c r="J114" s="7">
        <v>0.0</v>
      </c>
      <c r="K114" s="7">
        <v>0.0</v>
      </c>
      <c r="L114" s="8">
        <v>0.0</v>
      </c>
      <c r="M114" s="8">
        <v>0.0</v>
      </c>
      <c r="N114" s="8">
        <f t="shared" si="13"/>
        <v>0</v>
      </c>
      <c r="O114" s="8">
        <v>665.6</v>
      </c>
      <c r="P114" s="8">
        <v>335.6</v>
      </c>
      <c r="Q114" s="8">
        <f t="shared" si="14"/>
        <v>1001.2</v>
      </c>
      <c r="R114" s="6">
        <v>0.0</v>
      </c>
      <c r="S114" s="6"/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AB114" s="5" t="s">
        <v>44</v>
      </c>
      <c r="AC114" s="4"/>
      <c r="AD114" s="4"/>
      <c r="AE114" s="4"/>
    </row>
    <row r="115">
      <c r="C115" s="5" t="s">
        <v>45</v>
      </c>
      <c r="D115" s="6">
        <v>0.0</v>
      </c>
      <c r="E115" s="6"/>
      <c r="F115" s="6">
        <v>1.0</v>
      </c>
      <c r="G115" s="6">
        <v>0.0</v>
      </c>
      <c r="H115" s="6">
        <v>0.0</v>
      </c>
      <c r="I115" s="6">
        <v>0.0</v>
      </c>
      <c r="J115" s="7">
        <v>0.0</v>
      </c>
      <c r="K115" s="7">
        <v>0.0</v>
      </c>
      <c r="L115" s="8">
        <v>0.0</v>
      </c>
      <c r="M115" s="8">
        <v>0.0</v>
      </c>
      <c r="N115" s="8">
        <f t="shared" si="13"/>
        <v>0</v>
      </c>
      <c r="O115" s="8">
        <v>10.0</v>
      </c>
      <c r="P115" s="8">
        <v>153.4</v>
      </c>
      <c r="Q115" s="8">
        <f t="shared" si="14"/>
        <v>163.4</v>
      </c>
      <c r="R115" s="6">
        <v>0.0</v>
      </c>
      <c r="S115" s="6"/>
      <c r="T115" s="6">
        <v>9.93013661298909E-17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AB115" s="5" t="s">
        <v>45</v>
      </c>
      <c r="AC115" s="1"/>
      <c r="AD115" s="1"/>
      <c r="AE115" s="1"/>
    </row>
    <row r="116">
      <c r="A116" s="4"/>
      <c r="B116" s="4"/>
      <c r="C116" s="5" t="s">
        <v>28</v>
      </c>
      <c r="D116" s="6">
        <v>0.845333333333333</v>
      </c>
      <c r="E116" s="6">
        <v>0.789705248352475</v>
      </c>
      <c r="F116" s="6">
        <v>0.700778201626608</v>
      </c>
      <c r="G116" s="6">
        <v>0.701383459675453</v>
      </c>
      <c r="H116" s="6">
        <v>0.704504871022376</v>
      </c>
      <c r="I116" s="6">
        <v>0.702122459166111</v>
      </c>
      <c r="J116" s="7">
        <v>8.06666666666666</v>
      </c>
      <c r="K116" s="7">
        <v>7.4</v>
      </c>
      <c r="L116" s="8">
        <v>45.0</v>
      </c>
      <c r="M116" s="8">
        <v>255.0</v>
      </c>
      <c r="N116" s="8">
        <f t="shared" si="13"/>
        <v>300</v>
      </c>
      <c r="O116" s="8">
        <v>241.8</v>
      </c>
      <c r="P116" s="8">
        <v>662.4</v>
      </c>
      <c r="Q116" s="8">
        <f t="shared" si="14"/>
        <v>904.2</v>
      </c>
      <c r="R116" s="6">
        <v>0.0281740621454872</v>
      </c>
      <c r="S116" s="6">
        <v>0.0401354795032159</v>
      </c>
      <c r="T116" s="6">
        <v>0.0503465865305742</v>
      </c>
      <c r="U116" s="6">
        <v>0.0413340374954544</v>
      </c>
      <c r="V116" s="6">
        <v>0.0305145346377517</v>
      </c>
      <c r="W116" s="6">
        <v>0.0359861513237353</v>
      </c>
      <c r="X116" s="6">
        <v>2.19494368442057</v>
      </c>
      <c r="Y116" s="6">
        <v>0.879393730551528</v>
      </c>
      <c r="AA116" s="4"/>
      <c r="AB116" s="5" t="s">
        <v>28</v>
      </c>
      <c r="AC116" s="4"/>
      <c r="AD116" s="4"/>
      <c r="AE116" s="4"/>
      <c r="AF116" s="4"/>
    </row>
    <row r="117">
      <c r="C117" s="5" t="s">
        <v>46</v>
      </c>
      <c r="D117" s="6">
        <v>0.0</v>
      </c>
      <c r="E117" s="6"/>
      <c r="F117" s="6">
        <v>1.0</v>
      </c>
      <c r="G117" s="6">
        <v>0.0</v>
      </c>
      <c r="H117" s="6">
        <v>0.0</v>
      </c>
      <c r="I117" s="6">
        <v>0.0</v>
      </c>
      <c r="J117" s="7">
        <v>0.0</v>
      </c>
      <c r="K117" s="7">
        <v>0.0</v>
      </c>
      <c r="L117" s="8">
        <v>0.0</v>
      </c>
      <c r="M117" s="8">
        <v>0.0</v>
      </c>
      <c r="N117" s="8">
        <f t="shared" si="13"/>
        <v>0</v>
      </c>
      <c r="O117" s="8">
        <v>85.0</v>
      </c>
      <c r="P117" s="8">
        <v>557.4</v>
      </c>
      <c r="Q117" s="8">
        <f t="shared" si="14"/>
        <v>642.4</v>
      </c>
      <c r="R117" s="6">
        <v>0.0</v>
      </c>
      <c r="S117" s="6"/>
      <c r="T117" s="6">
        <v>0.0</v>
      </c>
      <c r="U117" s="6">
        <v>0.0</v>
      </c>
      <c r="V117" s="6">
        <v>0.0</v>
      </c>
      <c r="W117" s="6">
        <v>0.0</v>
      </c>
      <c r="X117" s="6">
        <v>0.0</v>
      </c>
      <c r="Y117" s="6">
        <v>0.0</v>
      </c>
      <c r="AB117" s="5" t="s">
        <v>46</v>
      </c>
      <c r="AC117" s="1"/>
      <c r="AD117" s="1"/>
      <c r="AE117" s="1"/>
    </row>
    <row r="118">
      <c r="A118" s="4"/>
      <c r="B118" s="4"/>
      <c r="C118" s="5" t="s">
        <v>29</v>
      </c>
      <c r="D118" s="6">
        <v>0.898</v>
      </c>
      <c r="E118" s="6">
        <v>0.929348410263066</v>
      </c>
      <c r="F118" s="6">
        <v>0.905521690382604</v>
      </c>
      <c r="G118" s="6">
        <v>0.884353362093246</v>
      </c>
      <c r="H118" s="6">
        <v>0.896874590514512</v>
      </c>
      <c r="I118" s="6">
        <v>0.889576251953583</v>
      </c>
      <c r="J118" s="7">
        <v>6.53333333333333</v>
      </c>
      <c r="K118" s="7">
        <v>3.66666666666666</v>
      </c>
      <c r="L118" s="8">
        <v>104.6</v>
      </c>
      <c r="M118" s="8">
        <v>195.4</v>
      </c>
      <c r="N118" s="8">
        <f t="shared" si="13"/>
        <v>300</v>
      </c>
      <c r="O118" s="8">
        <v>303.2</v>
      </c>
      <c r="P118" s="8">
        <v>550.8</v>
      </c>
      <c r="Q118" s="8">
        <f t="shared" si="14"/>
        <v>854</v>
      </c>
      <c r="R118" s="6">
        <v>0.00956846672960485</v>
      </c>
      <c r="S118" s="6">
        <v>0.0109068397048593</v>
      </c>
      <c r="T118" s="6">
        <v>0.015960255416422</v>
      </c>
      <c r="U118" s="6">
        <v>0.0109470309055535</v>
      </c>
      <c r="V118" s="6">
        <v>0.00996908163603563</v>
      </c>
      <c r="W118" s="6">
        <v>0.010309972365903</v>
      </c>
      <c r="X118" s="6">
        <v>0.90921211313239</v>
      </c>
      <c r="Y118" s="6">
        <v>0.632455532033676</v>
      </c>
      <c r="AA118" s="4"/>
      <c r="AB118" s="5" t="s">
        <v>29</v>
      </c>
      <c r="AC118" s="4"/>
      <c r="AD118" s="4"/>
      <c r="AE118" s="4"/>
      <c r="AF118" s="4"/>
    </row>
    <row r="119">
      <c r="C119" s="5" t="s">
        <v>47</v>
      </c>
      <c r="D119" s="6">
        <v>0.0</v>
      </c>
      <c r="E119" s="6"/>
      <c r="F119" s="6">
        <v>1.0</v>
      </c>
      <c r="G119" s="6">
        <v>0.0</v>
      </c>
      <c r="H119" s="6">
        <v>0.0</v>
      </c>
      <c r="I119" s="6">
        <v>0.0</v>
      </c>
      <c r="J119" s="7">
        <v>0.0</v>
      </c>
      <c r="K119" s="7">
        <v>0.0</v>
      </c>
      <c r="L119" s="8">
        <v>0.0</v>
      </c>
      <c r="M119" s="8">
        <v>0.0</v>
      </c>
      <c r="N119" s="8">
        <f t="shared" si="13"/>
        <v>0</v>
      </c>
      <c r="O119" s="8">
        <v>11.4</v>
      </c>
      <c r="P119" s="8">
        <v>26.6</v>
      </c>
      <c r="Q119" s="8">
        <f t="shared" si="14"/>
        <v>38</v>
      </c>
      <c r="R119" s="6">
        <v>0.0</v>
      </c>
      <c r="S119" s="6"/>
      <c r="T119" s="6">
        <v>0.0</v>
      </c>
      <c r="U119" s="6">
        <v>0.0</v>
      </c>
      <c r="V119" s="6">
        <v>0.0</v>
      </c>
      <c r="W119" s="6">
        <v>0.0</v>
      </c>
      <c r="X119" s="6">
        <v>0.0</v>
      </c>
      <c r="Y119" s="6">
        <v>0.0</v>
      </c>
      <c r="AB119" s="5" t="s">
        <v>47</v>
      </c>
      <c r="AC119" s="1"/>
      <c r="AD119" s="1"/>
      <c r="AE119" s="1"/>
    </row>
    <row r="120">
      <c r="C120" s="5" t="s">
        <v>30</v>
      </c>
      <c r="D120" s="6">
        <v>0.808</v>
      </c>
      <c r="E120" s="6">
        <v>0.756023060840866</v>
      </c>
      <c r="F120" s="6">
        <v>0.690516654763149</v>
      </c>
      <c r="G120" s="6">
        <v>404.0</v>
      </c>
      <c r="H120" s="6">
        <v>0.5</v>
      </c>
      <c r="I120" s="6">
        <v>0.446887071000127</v>
      </c>
      <c r="J120" s="7">
        <v>0.0</v>
      </c>
      <c r="K120" s="7">
        <v>19.2</v>
      </c>
      <c r="L120" s="8">
        <v>57.6</v>
      </c>
      <c r="M120" s="8">
        <v>242.4</v>
      </c>
      <c r="N120" s="8">
        <f t="shared" si="13"/>
        <v>300</v>
      </c>
      <c r="O120" s="8">
        <v>80.4</v>
      </c>
      <c r="P120" s="8">
        <v>822.2</v>
      </c>
      <c r="Q120" s="8">
        <f t="shared" si="14"/>
        <v>902.6</v>
      </c>
      <c r="R120" s="6">
        <v>0.00956846672960487</v>
      </c>
      <c r="S120" s="6">
        <v>0.119413650059787</v>
      </c>
      <c r="T120" s="6">
        <v>0.0858810618344759</v>
      </c>
      <c r="U120" s="6">
        <v>0.00478423336480243</v>
      </c>
      <c r="V120" s="6">
        <v>0.0</v>
      </c>
      <c r="W120" s="6">
        <v>0.00294465193155099</v>
      </c>
      <c r="X120" s="6">
        <v>0.0</v>
      </c>
      <c r="Y120" s="6">
        <v>0.956846672960488</v>
      </c>
      <c r="AB120" s="5" t="s">
        <v>30</v>
      </c>
      <c r="AC120" s="1"/>
      <c r="AD120" s="1"/>
      <c r="AE120" s="1"/>
      <c r="AF120" s="4"/>
    </row>
    <row r="121">
      <c r="A121" s="1"/>
      <c r="B121" s="1"/>
      <c r="C121" s="5" t="s">
        <v>31</v>
      </c>
      <c r="D121" s="6">
        <f>MEDIAN(D93:D120)</f>
        <v>0.51368187</v>
      </c>
      <c r="E121" s="6">
        <f t="shared" ref="E121:K121" si="15">MEDIAN(E4:E120)</f>
        <v>0.9068001823</v>
      </c>
      <c r="F121" s="6">
        <f t="shared" si="15"/>
        <v>0.8543692249</v>
      </c>
      <c r="G121" s="6">
        <f t="shared" si="15"/>
        <v>0.747711807</v>
      </c>
      <c r="H121" s="6">
        <f t="shared" si="15"/>
        <v>0.7660842454</v>
      </c>
      <c r="I121" s="6">
        <f t="shared" si="15"/>
        <v>0.7446640078</v>
      </c>
      <c r="J121" s="7">
        <f t="shared" si="15"/>
        <v>3.4</v>
      </c>
      <c r="K121" s="7">
        <f t="shared" si="15"/>
        <v>3.99583579</v>
      </c>
      <c r="AC121" s="1"/>
      <c r="AD121" s="1"/>
      <c r="AE121" s="1"/>
    </row>
    <row r="122">
      <c r="A122" s="1"/>
      <c r="B122" s="1"/>
      <c r="C122" s="2" t="s">
        <v>49</v>
      </c>
    </row>
    <row r="123">
      <c r="A123" s="1"/>
      <c r="B123" s="1"/>
      <c r="C123" s="2"/>
    </row>
    <row r="124">
      <c r="A124" s="1"/>
      <c r="B124" s="1"/>
      <c r="C124" s="3" t="s">
        <v>1</v>
      </c>
      <c r="D124" s="3" t="s">
        <v>2</v>
      </c>
      <c r="E124" s="3" t="s">
        <v>3</v>
      </c>
      <c r="F124" s="3" t="s">
        <v>4</v>
      </c>
      <c r="G124" s="3" t="s">
        <v>5</v>
      </c>
      <c r="H124" s="3" t="s">
        <v>6</v>
      </c>
      <c r="I124" s="3" t="s">
        <v>7</v>
      </c>
      <c r="J124" s="3" t="s">
        <v>8</v>
      </c>
      <c r="K124" s="3" t="s">
        <v>9</v>
      </c>
      <c r="L124" s="3" t="s">
        <v>10</v>
      </c>
      <c r="M124" s="3" t="s">
        <v>11</v>
      </c>
      <c r="N124" s="3" t="s">
        <v>12</v>
      </c>
      <c r="O124" s="3" t="s">
        <v>13</v>
      </c>
      <c r="P124" s="3" t="s">
        <v>14</v>
      </c>
      <c r="Q124" s="3" t="s">
        <v>15</v>
      </c>
      <c r="R124" s="3" t="s">
        <v>2</v>
      </c>
      <c r="S124" s="3" t="s">
        <v>3</v>
      </c>
      <c r="T124" s="3" t="s">
        <v>4</v>
      </c>
      <c r="U124" s="3" t="s">
        <v>5</v>
      </c>
      <c r="V124" s="3" t="s">
        <v>6</v>
      </c>
      <c r="W124" s="3" t="s">
        <v>7</v>
      </c>
      <c r="X124" s="3" t="s">
        <v>8</v>
      </c>
      <c r="Y124" s="3" t="s">
        <v>9</v>
      </c>
    </row>
    <row r="125">
      <c r="A125" s="4"/>
      <c r="B125" s="4"/>
      <c r="C125" s="5" t="s">
        <v>16</v>
      </c>
      <c r="D125" s="6">
        <v>0.831243656917541</v>
      </c>
      <c r="E125" s="6">
        <v>0.922218720408446</v>
      </c>
      <c r="F125" s="6">
        <v>0.898212433335652</v>
      </c>
      <c r="G125" s="6">
        <v>0.827899283607793</v>
      </c>
      <c r="H125" s="6">
        <v>0.797880149274678</v>
      </c>
      <c r="I125" s="6">
        <v>0.805993563837478</v>
      </c>
      <c r="J125" s="7">
        <v>11.5212218429187</v>
      </c>
      <c r="K125" s="7">
        <v>5.35441246532718</v>
      </c>
      <c r="L125" s="8">
        <v>87.0</v>
      </c>
      <c r="M125" s="8">
        <v>47.4</v>
      </c>
      <c r="N125" s="8">
        <f t="shared" ref="N125:N152" si="16">L125+M125</f>
        <v>134.4</v>
      </c>
      <c r="O125" s="8">
        <v>690.8</v>
      </c>
      <c r="P125" s="8">
        <v>288.8</v>
      </c>
      <c r="Q125" s="8">
        <f t="shared" ref="Q125:Q152" si="17">P125+O125</f>
        <v>979.6</v>
      </c>
      <c r="R125" s="6">
        <v>0.0330747498446074</v>
      </c>
      <c r="S125" s="6">
        <v>0.0225185236409409</v>
      </c>
      <c r="T125" s="6">
        <v>0.0234525262687167</v>
      </c>
      <c r="U125" s="6">
        <v>0.0235618187638136</v>
      </c>
      <c r="V125" s="6">
        <v>0.0414849004032069</v>
      </c>
      <c r="W125" s="6">
        <v>0.0368416424436138</v>
      </c>
      <c r="X125" s="6">
        <v>3.89819128590005</v>
      </c>
      <c r="Y125" s="6">
        <v>1.28921685314109</v>
      </c>
    </row>
    <row r="126">
      <c r="C126" s="5" t="s">
        <v>35</v>
      </c>
      <c r="D126" s="6">
        <v>0.927237002613375</v>
      </c>
      <c r="E126" s="6">
        <v>0.923807941481511</v>
      </c>
      <c r="F126" s="6">
        <v>0.816389297729468</v>
      </c>
      <c r="G126" s="6">
        <v>0.845894530065831</v>
      </c>
      <c r="H126" s="6">
        <v>0.762614288829434</v>
      </c>
      <c r="I126" s="6">
        <v>0.760895386668706</v>
      </c>
      <c r="J126" s="7">
        <v>2.8923792973756</v>
      </c>
      <c r="K126" s="7">
        <v>4.38392044128681</v>
      </c>
      <c r="L126" s="8">
        <v>13.2</v>
      </c>
      <c r="M126" s="8">
        <v>118.8</v>
      </c>
      <c r="N126" s="8">
        <f t="shared" si="16"/>
        <v>132</v>
      </c>
      <c r="O126" s="8">
        <v>33.6</v>
      </c>
      <c r="P126" s="8">
        <v>238.2</v>
      </c>
      <c r="Q126" s="8">
        <f t="shared" si="17"/>
        <v>271.8</v>
      </c>
      <c r="R126" s="6">
        <v>0.0157237203415615</v>
      </c>
      <c r="S126" s="6">
        <v>0.0378378420686736</v>
      </c>
      <c r="T126" s="6">
        <v>0.0570290830212245</v>
      </c>
      <c r="U126" s="6">
        <v>0.0817848955508849</v>
      </c>
      <c r="V126" s="6">
        <v>0.11586582266988</v>
      </c>
      <c r="W126" s="6">
        <v>0.111925011611226</v>
      </c>
      <c r="X126" s="6">
        <v>2.14281532494907</v>
      </c>
      <c r="Y126" s="6">
        <v>2.3860604323541</v>
      </c>
    </row>
    <row r="127">
      <c r="C127" s="5" t="s">
        <v>36</v>
      </c>
      <c r="D127" s="6">
        <v>0.0</v>
      </c>
      <c r="E127" s="6"/>
      <c r="F127" s="6">
        <v>1.0</v>
      </c>
      <c r="G127" s="6">
        <v>0.0</v>
      </c>
      <c r="H127" s="6">
        <v>0.0</v>
      </c>
      <c r="I127" s="6">
        <v>0.0</v>
      </c>
      <c r="J127" s="7">
        <v>0.0</v>
      </c>
      <c r="K127" s="7">
        <v>0.0</v>
      </c>
      <c r="L127" s="8">
        <v>0.0</v>
      </c>
      <c r="M127" s="8">
        <v>0.0</v>
      </c>
      <c r="N127" s="8">
        <f t="shared" si="16"/>
        <v>0</v>
      </c>
      <c r="O127" s="8">
        <v>11.0</v>
      </c>
      <c r="P127" s="8">
        <v>882.4</v>
      </c>
      <c r="Q127" s="8">
        <f t="shared" si="17"/>
        <v>893.4</v>
      </c>
      <c r="R127" s="6">
        <v>0.0</v>
      </c>
      <c r="S127" s="6"/>
      <c r="T127" s="6">
        <v>0.0</v>
      </c>
      <c r="U127" s="6">
        <v>0.0</v>
      </c>
      <c r="V127" s="6">
        <v>0.0</v>
      </c>
      <c r="W127" s="6">
        <v>0.0</v>
      </c>
      <c r="X127" s="6">
        <v>0.0</v>
      </c>
      <c r="Y127" s="6">
        <v>0.0</v>
      </c>
    </row>
    <row r="128">
      <c r="A128" s="4"/>
      <c r="B128" s="4"/>
      <c r="C128" s="5" t="s">
        <v>17</v>
      </c>
      <c r="D128" s="6">
        <v>0.906868012923549</v>
      </c>
      <c r="E128" s="6">
        <v>0.815895090214108</v>
      </c>
      <c r="F128" s="6">
        <v>0.734278783813297</v>
      </c>
      <c r="G128" s="6">
        <v>0.787648447040052</v>
      </c>
      <c r="H128" s="6">
        <v>0.658137632458559</v>
      </c>
      <c r="I128" s="6">
        <v>0.691908722492109</v>
      </c>
      <c r="J128" s="7">
        <v>2.19405970195718</v>
      </c>
      <c r="K128" s="7">
        <v>7.1191390056879</v>
      </c>
      <c r="L128" s="8">
        <v>13.8</v>
      </c>
      <c r="M128" s="8">
        <v>116.4</v>
      </c>
      <c r="N128" s="8">
        <f t="shared" si="16"/>
        <v>130.2</v>
      </c>
      <c r="O128" s="8">
        <v>106.0</v>
      </c>
      <c r="P128" s="8">
        <v>716.2</v>
      </c>
      <c r="Q128" s="8">
        <f t="shared" si="17"/>
        <v>822.2</v>
      </c>
      <c r="R128" s="6">
        <v>0.0257008180673812</v>
      </c>
      <c r="S128" s="6">
        <v>0.0596104528825409</v>
      </c>
      <c r="T128" s="6">
        <v>0.0699530469549929</v>
      </c>
      <c r="U128" s="6">
        <v>0.104176889136361</v>
      </c>
      <c r="V128" s="6">
        <v>0.0587391994994015</v>
      </c>
      <c r="W128" s="6">
        <v>0.0628471884665248</v>
      </c>
      <c r="X128" s="6">
        <v>1.1843378571211</v>
      </c>
      <c r="Y128" s="6">
        <v>1.95048363395535</v>
      </c>
    </row>
    <row r="129">
      <c r="C129" s="5" t="s">
        <v>18</v>
      </c>
      <c r="D129" s="6">
        <v>0.838708917822933</v>
      </c>
      <c r="E129" s="6">
        <v>0.836905092094185</v>
      </c>
      <c r="F129" s="6">
        <v>0.758483497697004</v>
      </c>
      <c r="G129" s="6">
        <v>0.726314408660889</v>
      </c>
      <c r="H129" s="6">
        <v>0.72075794310436</v>
      </c>
      <c r="I129" s="6">
        <v>0.721884553985843</v>
      </c>
      <c r="J129" s="7">
        <v>7.66911400323625</v>
      </c>
      <c r="K129" s="7">
        <v>8.45999421447044</v>
      </c>
      <c r="L129" s="8">
        <v>22.4</v>
      </c>
      <c r="M129" s="8">
        <v>98.0</v>
      </c>
      <c r="N129" s="8">
        <f t="shared" si="16"/>
        <v>120.4</v>
      </c>
      <c r="O129" s="8">
        <v>187.6</v>
      </c>
      <c r="P129" s="8">
        <v>689.4</v>
      </c>
      <c r="Q129" s="8">
        <f t="shared" si="17"/>
        <v>877</v>
      </c>
      <c r="R129" s="6">
        <v>0.0172547325496422</v>
      </c>
      <c r="S129" s="6">
        <v>0.0319549043127279</v>
      </c>
      <c r="T129" s="6">
        <v>0.039056319958085</v>
      </c>
      <c r="U129" s="6">
        <v>0.0445830722042059</v>
      </c>
      <c r="V129" s="6">
        <v>0.0633874152837676</v>
      </c>
      <c r="W129" s="6">
        <v>0.054024516238039</v>
      </c>
      <c r="X129" s="6">
        <v>0.769545899896661</v>
      </c>
      <c r="Y129" s="6">
        <v>2.09907386812784</v>
      </c>
    </row>
    <row r="130">
      <c r="C130" s="5" t="s">
        <v>19</v>
      </c>
      <c r="D130" s="6">
        <v>0.949382224434489</v>
      </c>
      <c r="E130" s="6">
        <v>976.0</v>
      </c>
      <c r="F130" s="6">
        <v>0.96508018630309</v>
      </c>
      <c r="G130" s="6">
        <v>0.881381461675579</v>
      </c>
      <c r="H130" s="6">
        <v>0.857632034632034</v>
      </c>
      <c r="I130" s="6">
        <v>0.851563360902254</v>
      </c>
      <c r="J130" s="7">
        <v>2.19858783621849</v>
      </c>
      <c r="K130" s="7">
        <v>2.86318972033257</v>
      </c>
      <c r="L130" s="8">
        <v>4.6</v>
      </c>
      <c r="M130" s="8">
        <v>40.2</v>
      </c>
      <c r="N130" s="8">
        <f t="shared" si="16"/>
        <v>44.8</v>
      </c>
      <c r="O130" s="8">
        <v>104.0</v>
      </c>
      <c r="P130" s="8">
        <v>621.6</v>
      </c>
      <c r="Q130" s="8">
        <f t="shared" si="17"/>
        <v>725.6</v>
      </c>
      <c r="R130" s="6">
        <v>0.0207937402841516</v>
      </c>
      <c r="S130" s="6">
        <v>0.0387814388593306</v>
      </c>
      <c r="T130" s="6">
        <v>0.0427812075984282</v>
      </c>
      <c r="U130" s="6">
        <v>0.0448650867338793</v>
      </c>
      <c r="V130" s="6">
        <v>0.117997221641598</v>
      </c>
      <c r="W130" s="6">
        <v>0.0704924660072444</v>
      </c>
      <c r="X130" s="6">
        <v>1.55942141204731</v>
      </c>
      <c r="Y130" s="6">
        <v>3.17371905768213</v>
      </c>
    </row>
    <row r="131">
      <c r="A131" s="4"/>
      <c r="B131" s="4"/>
      <c r="C131" s="5" t="s">
        <v>20</v>
      </c>
      <c r="D131" s="6">
        <v>0.840490062581186</v>
      </c>
      <c r="E131" s="6">
        <v>0.605892220207512</v>
      </c>
      <c r="F131" s="6">
        <v>0.579906097825318</v>
      </c>
      <c r="G131" s="6">
        <v>0.473227667421357</v>
      </c>
      <c r="H131" s="6">
        <v>0.501331648601469</v>
      </c>
      <c r="I131" s="6">
        <v>0.466545606647124</v>
      </c>
      <c r="J131" s="7">
        <v>0.721804511278195</v>
      </c>
      <c r="K131" s="7">
        <v>15.2291892306031</v>
      </c>
      <c r="L131" s="8">
        <v>20.8</v>
      </c>
      <c r="M131" s="8">
        <v>114.4</v>
      </c>
      <c r="N131" s="8">
        <f t="shared" si="16"/>
        <v>135.2</v>
      </c>
      <c r="O131" s="8">
        <v>200.6</v>
      </c>
      <c r="P131" s="8">
        <v>695.8</v>
      </c>
      <c r="Q131" s="8">
        <f t="shared" si="17"/>
        <v>896.4</v>
      </c>
      <c r="R131" s="6">
        <v>0.0195837175087813</v>
      </c>
      <c r="S131" s="6">
        <v>0.139502065180384</v>
      </c>
      <c r="T131" s="6">
        <v>0.0656987231801309</v>
      </c>
      <c r="U131" s="6">
        <v>0.106269445897589</v>
      </c>
      <c r="V131" s="6">
        <v>0.0119694978307514</v>
      </c>
      <c r="W131" s="6">
        <v>0.0238815610749179</v>
      </c>
      <c r="X131" s="6">
        <v>0.782605281858</v>
      </c>
      <c r="Y131" s="6">
        <v>2.10351405942457</v>
      </c>
    </row>
    <row r="132">
      <c r="C132" s="5" t="s">
        <v>37</v>
      </c>
      <c r="D132" s="6">
        <v>0.914907867649526</v>
      </c>
      <c r="E132" s="6">
        <v>0.796679607474881</v>
      </c>
      <c r="F132" s="6">
        <v>0.633051212066949</v>
      </c>
      <c r="G132" s="6">
        <v>0.457453933824763</v>
      </c>
      <c r="H132" s="6">
        <v>0.5</v>
      </c>
      <c r="I132" s="6">
        <v>0.477753202620417</v>
      </c>
      <c r="J132" s="7">
        <v>0.0</v>
      </c>
      <c r="K132" s="7">
        <v>8.50921323504736</v>
      </c>
      <c r="L132" s="8">
        <v>22.2</v>
      </c>
      <c r="M132" s="8">
        <v>238.8</v>
      </c>
      <c r="N132" s="8">
        <f t="shared" si="16"/>
        <v>261</v>
      </c>
      <c r="O132" s="8">
        <v>48.8</v>
      </c>
      <c r="P132" s="8">
        <v>638.4</v>
      </c>
      <c r="Q132" s="8">
        <f t="shared" si="17"/>
        <v>687.2</v>
      </c>
      <c r="R132" s="6">
        <v>0.01412838766164</v>
      </c>
      <c r="S132" s="6">
        <v>0.0604887589690579</v>
      </c>
      <c r="T132" s="6">
        <v>0.0796806059203709</v>
      </c>
      <c r="U132" s="6">
        <v>0.00706419383082006</v>
      </c>
      <c r="V132" s="6">
        <v>0.0</v>
      </c>
      <c r="W132" s="6">
        <v>0.00385759163473688</v>
      </c>
      <c r="X132" s="6">
        <v>0.0</v>
      </c>
      <c r="Y132" s="6">
        <v>1.41283876616401</v>
      </c>
    </row>
    <row r="133">
      <c r="C133" s="5" t="s">
        <v>38</v>
      </c>
      <c r="D133" s="6">
        <v>0.961277412197766</v>
      </c>
      <c r="E133" s="6">
        <v>0.957360410908297</v>
      </c>
      <c r="F133" s="6">
        <v>0.848395457753681</v>
      </c>
      <c r="G133" s="6">
        <v>0.764763191635821</v>
      </c>
      <c r="H133" s="6">
        <v>0.612312925170068</v>
      </c>
      <c r="I133" s="6">
        <v>0.624800524907801</v>
      </c>
      <c r="J133" s="7">
        <v>0.192307692307692</v>
      </c>
      <c r="K133" s="7">
        <v>3.67995108791569</v>
      </c>
      <c r="L133" s="8">
        <v>5.4</v>
      </c>
      <c r="M133" s="8">
        <v>102.2</v>
      </c>
      <c r="N133" s="8">
        <f t="shared" si="16"/>
        <v>107.6</v>
      </c>
      <c r="O133" s="8">
        <v>9.2</v>
      </c>
      <c r="P133" s="8">
        <v>365.0</v>
      </c>
      <c r="Q133" s="8">
        <f t="shared" si="17"/>
        <v>374.2</v>
      </c>
      <c r="R133" s="6">
        <v>0.0223656762735164</v>
      </c>
      <c r="S133" s="6">
        <v>0.0376359952697869</v>
      </c>
      <c r="T133" s="6">
        <v>0.0710198095663593</v>
      </c>
      <c r="U133" s="6">
        <v>0.228451658262113</v>
      </c>
      <c r="V133" s="6">
        <v>0.154152181593413</v>
      </c>
      <c r="W133" s="6">
        <v>0.155539827152473</v>
      </c>
      <c r="X133" s="6">
        <v>0.384615384615384</v>
      </c>
      <c r="Y133" s="6">
        <v>2.42896049277708</v>
      </c>
    </row>
    <row r="134">
      <c r="C134" s="5" t="s">
        <v>21</v>
      </c>
      <c r="D134" s="6">
        <v>0.898508796070968</v>
      </c>
      <c r="E134" s="6">
        <v>0.910615686927077</v>
      </c>
      <c r="F134" s="6">
        <v>0.864253074696753</v>
      </c>
      <c r="G134" s="6">
        <v>0.855339010231809</v>
      </c>
      <c r="H134" s="6">
        <v>0.836524105765045</v>
      </c>
      <c r="I134" s="6">
        <v>0.844621992074868</v>
      </c>
      <c r="J134" s="7">
        <v>4.22606684795949</v>
      </c>
      <c r="K134" s="7">
        <v>5.92305354494361</v>
      </c>
      <c r="L134" s="8">
        <v>59.4</v>
      </c>
      <c r="M134" s="8">
        <v>220.2</v>
      </c>
      <c r="N134" s="8">
        <f t="shared" si="16"/>
        <v>279.6</v>
      </c>
      <c r="O134" s="8">
        <v>217.8</v>
      </c>
      <c r="P134" s="8">
        <v>903.2</v>
      </c>
      <c r="Q134" s="8">
        <f t="shared" si="17"/>
        <v>1121</v>
      </c>
      <c r="R134" s="6">
        <v>0.0211459828296533</v>
      </c>
      <c r="S134" s="6">
        <v>0.0217699671326406</v>
      </c>
      <c r="T134" s="6">
        <v>0.0181228163499422</v>
      </c>
      <c r="U134" s="6">
        <v>0.0181437857344211</v>
      </c>
      <c r="V134" s="6">
        <v>0.0313150135060968</v>
      </c>
      <c r="W134" s="6">
        <v>0.0241886375312918</v>
      </c>
      <c r="X134" s="6">
        <v>0.601059559995293</v>
      </c>
      <c r="Y134" s="6">
        <v>1.8390752200011</v>
      </c>
    </row>
    <row r="135">
      <c r="C135" s="5" t="s">
        <v>39</v>
      </c>
      <c r="D135" s="6">
        <v>0.978342592592592</v>
      </c>
      <c r="E135" s="6">
        <v>0.959606481481481</v>
      </c>
      <c r="F135" s="6">
        <v>0.969542534498285</v>
      </c>
      <c r="G135" s="6">
        <v>0.982403508771929</v>
      </c>
      <c r="H135" s="6">
        <v>0.969246031746031</v>
      </c>
      <c r="I135" s="6">
        <v>0.974655931572263</v>
      </c>
      <c r="J135" s="7">
        <v>1.36574074074074</v>
      </c>
      <c r="K135" s="7">
        <v>0.8</v>
      </c>
      <c r="L135" s="8">
        <v>18.8</v>
      </c>
      <c r="M135" s="8">
        <v>8.2</v>
      </c>
      <c r="N135" s="8">
        <f t="shared" si="16"/>
        <v>27</v>
      </c>
      <c r="O135" s="8">
        <v>97.0</v>
      </c>
      <c r="P135" s="8">
        <v>171.0</v>
      </c>
      <c r="Q135" s="8">
        <f t="shared" si="17"/>
        <v>268</v>
      </c>
      <c r="R135" s="6">
        <v>0.0179057986944494</v>
      </c>
      <c r="S135" s="6">
        <v>0.049755596944441</v>
      </c>
      <c r="T135" s="6">
        <v>0.0373608886929217</v>
      </c>
      <c r="U135" s="6">
        <v>0.0160028083100225</v>
      </c>
      <c r="V135" s="6">
        <v>0.026605063955336</v>
      </c>
      <c r="W135" s="6">
        <v>0.0207227183980831</v>
      </c>
      <c r="X135" s="6">
        <v>1.68266498568391</v>
      </c>
      <c r="Y135" s="6">
        <v>1.6</v>
      </c>
    </row>
    <row r="136">
      <c r="C136" s="5" t="s">
        <v>40</v>
      </c>
      <c r="D136" s="6">
        <v>0.0</v>
      </c>
      <c r="E136" s="6"/>
      <c r="F136" s="6">
        <v>1.0</v>
      </c>
      <c r="G136" s="6">
        <v>0.0</v>
      </c>
      <c r="H136" s="6">
        <v>0.0</v>
      </c>
      <c r="I136" s="6">
        <v>0.0</v>
      </c>
      <c r="J136" s="7">
        <v>0.0</v>
      </c>
      <c r="K136" s="7">
        <v>0.0</v>
      </c>
      <c r="L136" s="8">
        <v>0.0</v>
      </c>
      <c r="M136" s="8">
        <v>0.0</v>
      </c>
      <c r="N136" s="8">
        <f t="shared" si="16"/>
        <v>0</v>
      </c>
      <c r="O136" s="8">
        <v>15.8</v>
      </c>
      <c r="P136" s="8">
        <v>226.2</v>
      </c>
      <c r="Q136" s="8">
        <f t="shared" si="17"/>
        <v>242</v>
      </c>
      <c r="R136" s="6">
        <v>0.0</v>
      </c>
      <c r="S136" s="6"/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0.0</v>
      </c>
    </row>
    <row r="137">
      <c r="C137" s="5" t="s">
        <v>22</v>
      </c>
      <c r="D137" s="6">
        <v>0.922862716429341</v>
      </c>
      <c r="E137" s="6">
        <v>0.507661966180658</v>
      </c>
      <c r="F137" s="6">
        <v>0.586307826503372</v>
      </c>
      <c r="G137" s="6">
        <v>0.561386922234222</v>
      </c>
      <c r="H137" s="6">
        <v>0.506666666666666</v>
      </c>
      <c r="I137" s="6">
        <v>0.4924091706967</v>
      </c>
      <c r="J137" s="7">
        <v>0.0</v>
      </c>
      <c r="K137" s="7">
        <v>7.71372835706584</v>
      </c>
      <c r="L137" s="8">
        <v>13.2</v>
      </c>
      <c r="M137" s="8">
        <v>154.6</v>
      </c>
      <c r="N137" s="8">
        <f t="shared" si="16"/>
        <v>167.8</v>
      </c>
      <c r="O137" s="8">
        <v>54.4</v>
      </c>
      <c r="P137" s="8">
        <v>826.8</v>
      </c>
      <c r="Q137" s="8">
        <f t="shared" si="17"/>
        <v>881.2</v>
      </c>
      <c r="R137" s="6">
        <v>0.00793102705432583</v>
      </c>
      <c r="S137" s="6">
        <v>0.258102618700368</v>
      </c>
      <c r="T137" s="6">
        <v>0.101029796300391</v>
      </c>
      <c r="U137" s="6">
        <v>0.199571569926858</v>
      </c>
      <c r="V137" s="6">
        <v>0.0133333333333333</v>
      </c>
      <c r="W137" s="6">
        <v>0.0248427237011403</v>
      </c>
      <c r="X137" s="6">
        <v>0.0</v>
      </c>
      <c r="Y137" s="6">
        <v>0.793102705432586</v>
      </c>
    </row>
    <row r="138">
      <c r="C138" s="5" t="s">
        <v>23</v>
      </c>
      <c r="D138" s="6">
        <v>0.607534625268934</v>
      </c>
      <c r="E138" s="6">
        <v>0.50512035380596</v>
      </c>
      <c r="F138" s="6">
        <v>0.509698396630355</v>
      </c>
      <c r="G138" s="6">
        <v>0.51429884610919</v>
      </c>
      <c r="H138" s="6">
        <v>0.510769489659698</v>
      </c>
      <c r="I138" s="6">
        <v>0.465808019113838</v>
      </c>
      <c r="J138" s="7">
        <v>6.6657668127095</v>
      </c>
      <c r="K138" s="7">
        <v>32.580770660397</v>
      </c>
      <c r="L138" s="8">
        <v>73.6</v>
      </c>
      <c r="M138" s="8">
        <v>122.0</v>
      </c>
      <c r="N138" s="8">
        <f t="shared" si="16"/>
        <v>195.6</v>
      </c>
      <c r="O138" s="8">
        <v>188.4</v>
      </c>
      <c r="P138" s="8">
        <v>761.2</v>
      </c>
      <c r="Q138" s="8">
        <f t="shared" si="17"/>
        <v>949.6</v>
      </c>
      <c r="R138" s="6">
        <v>0.020901443491632</v>
      </c>
      <c r="S138" s="6">
        <v>0.0553445642054235</v>
      </c>
      <c r="T138" s="6">
        <v>0.0321545421892811</v>
      </c>
      <c r="U138" s="6">
        <v>0.0491295266924081</v>
      </c>
      <c r="V138" s="6">
        <v>0.0177748422425879</v>
      </c>
      <c r="W138" s="6">
        <v>0.031485523581616</v>
      </c>
      <c r="X138" s="6">
        <v>1.67988961538256</v>
      </c>
      <c r="Y138" s="6">
        <v>1.19076036111193</v>
      </c>
    </row>
    <row r="139">
      <c r="A139" s="4"/>
      <c r="B139" s="4"/>
      <c r="C139" s="5" t="s">
        <v>24</v>
      </c>
      <c r="D139" s="6">
        <v>0.857191505653044</v>
      </c>
      <c r="E139" s="6">
        <v>0.353685391587292</v>
      </c>
      <c r="F139" s="6">
        <v>0.468336245708363</v>
      </c>
      <c r="G139" s="6">
        <v>0.428595752826521</v>
      </c>
      <c r="H139" s="6">
        <v>0.5</v>
      </c>
      <c r="I139" s="6">
        <v>0.461463629383885</v>
      </c>
      <c r="J139" s="7">
        <v>0.0</v>
      </c>
      <c r="K139" s="7">
        <v>14.2808494346955</v>
      </c>
      <c r="L139" s="8">
        <v>25.2</v>
      </c>
      <c r="M139" s="8">
        <v>152.0</v>
      </c>
      <c r="N139" s="8">
        <f t="shared" si="16"/>
        <v>177.2</v>
      </c>
      <c r="O139" s="8">
        <v>106.2</v>
      </c>
      <c r="P139" s="8">
        <v>925.4</v>
      </c>
      <c r="Q139" s="8">
        <f t="shared" si="17"/>
        <v>1031.6</v>
      </c>
      <c r="R139" s="6">
        <v>0.0238881435178776</v>
      </c>
      <c r="S139" s="6">
        <v>0.182244485339727</v>
      </c>
      <c r="T139" s="6">
        <v>0.0565214010913359</v>
      </c>
      <c r="U139" s="6">
        <v>0.0119440717589388</v>
      </c>
      <c r="V139" s="6">
        <v>0.0</v>
      </c>
      <c r="W139" s="6">
        <v>0.00691457567012566</v>
      </c>
      <c r="X139" s="6">
        <v>0.0</v>
      </c>
      <c r="Y139" s="6">
        <v>2.38881435178776</v>
      </c>
    </row>
    <row r="140">
      <c r="C140" s="5" t="s">
        <v>41</v>
      </c>
      <c r="D140" s="6">
        <v>0.837602631834676</v>
      </c>
      <c r="E140" s="6">
        <v>0.64030529975602</v>
      </c>
      <c r="F140" s="6">
        <v>0.584967487016313</v>
      </c>
      <c r="G140" s="6">
        <v>0.418801315917338</v>
      </c>
      <c r="H140" s="6">
        <v>0.5</v>
      </c>
      <c r="I140" s="6">
        <v>0.455764620706633</v>
      </c>
      <c r="J140" s="7">
        <v>16.2397368165323</v>
      </c>
      <c r="K140" s="7">
        <v>0.0</v>
      </c>
      <c r="L140" s="8">
        <v>157.4</v>
      </c>
      <c r="M140" s="8">
        <v>30.6</v>
      </c>
      <c r="N140" s="8">
        <f t="shared" si="16"/>
        <v>188</v>
      </c>
      <c r="O140" s="8">
        <v>229.6</v>
      </c>
      <c r="P140" s="8">
        <v>35.4</v>
      </c>
      <c r="Q140" s="8">
        <f t="shared" si="17"/>
        <v>265</v>
      </c>
      <c r="R140" s="6">
        <v>0.0172743151999554</v>
      </c>
      <c r="S140" s="6">
        <v>0.0675766649515458</v>
      </c>
      <c r="T140" s="6">
        <v>0.0310734816626938</v>
      </c>
      <c r="U140" s="6">
        <v>0.00863715759997773</v>
      </c>
      <c r="V140" s="6">
        <v>0.0</v>
      </c>
      <c r="W140" s="6">
        <v>0.00511552878414378</v>
      </c>
      <c r="X140" s="6">
        <v>1.72743151999554</v>
      </c>
      <c r="Y140" s="6">
        <v>0.0</v>
      </c>
    </row>
    <row r="141">
      <c r="C141" s="5" t="s">
        <v>42</v>
      </c>
      <c r="D141" s="6">
        <v>0.67105283912789</v>
      </c>
      <c r="E141" s="6">
        <v>0.801190834639205</v>
      </c>
      <c r="F141" s="6">
        <v>0.752912397743062</v>
      </c>
      <c r="G141" s="6">
        <v>0.658261608505304</v>
      </c>
      <c r="H141" s="6">
        <v>0.717988819714512</v>
      </c>
      <c r="I141" s="6">
        <v>0.635834871783381</v>
      </c>
      <c r="J141" s="7">
        <v>4.5599663205454</v>
      </c>
      <c r="K141" s="7">
        <v>28.3347497666655</v>
      </c>
      <c r="L141" s="8">
        <v>115.8</v>
      </c>
      <c r="M141" s="8">
        <v>35.0</v>
      </c>
      <c r="N141" s="8">
        <f t="shared" si="16"/>
        <v>150.8</v>
      </c>
      <c r="O141" s="8">
        <v>169.2</v>
      </c>
      <c r="P141" s="8">
        <v>40.2</v>
      </c>
      <c r="Q141" s="8">
        <f t="shared" si="17"/>
        <v>209.4</v>
      </c>
      <c r="R141" s="6">
        <v>0.0998440033726507</v>
      </c>
      <c r="S141" s="6">
        <v>0.0389435411134799</v>
      </c>
      <c r="T141" s="6">
        <v>0.0133597228963898</v>
      </c>
      <c r="U141" s="6">
        <v>0.0390468186365123</v>
      </c>
      <c r="V141" s="6">
        <v>0.0655015309940339</v>
      </c>
      <c r="W141" s="6">
        <v>0.0829326896853414</v>
      </c>
      <c r="X141" s="6">
        <v>1.58190320569667</v>
      </c>
      <c r="Y141" s="6">
        <v>10.2698965649127</v>
      </c>
    </row>
    <row r="142">
      <c r="C142" s="5" t="s">
        <v>43</v>
      </c>
      <c r="D142" s="6">
        <v>0.943600132199779</v>
      </c>
      <c r="E142" s="6">
        <v>0.645838074749708</v>
      </c>
      <c r="F142" s="6">
        <v>0.609350542805538</v>
      </c>
      <c r="G142" s="6">
        <v>0.471800066099889</v>
      </c>
      <c r="H142" s="6">
        <v>0.5</v>
      </c>
      <c r="I142" s="6">
        <v>0.485464722564149</v>
      </c>
      <c r="J142" s="7">
        <v>0.0</v>
      </c>
      <c r="K142" s="7">
        <v>5.63998678002208</v>
      </c>
      <c r="L142" s="8">
        <v>4.4</v>
      </c>
      <c r="M142" s="8">
        <v>72.6</v>
      </c>
      <c r="N142" s="8">
        <f t="shared" si="16"/>
        <v>77</v>
      </c>
      <c r="O142" s="8">
        <v>115.8</v>
      </c>
      <c r="P142" s="8">
        <v>378.4</v>
      </c>
      <c r="Q142" s="8">
        <f t="shared" si="17"/>
        <v>494.2</v>
      </c>
      <c r="R142" s="6">
        <v>0.013850709083991</v>
      </c>
      <c r="S142" s="6">
        <v>0.182357257171638</v>
      </c>
      <c r="T142" s="6">
        <v>0.0970506322194627</v>
      </c>
      <c r="U142" s="6">
        <v>0.00692535454199554</v>
      </c>
      <c r="V142" s="6">
        <v>0.0</v>
      </c>
      <c r="W142" s="6">
        <v>0.00367012780930392</v>
      </c>
      <c r="X142" s="6">
        <v>0.0</v>
      </c>
      <c r="Y142" s="6">
        <v>1.3850709083991</v>
      </c>
    </row>
    <row r="143">
      <c r="A143" s="4"/>
      <c r="B143" s="4"/>
      <c r="C143" s="5" t="s">
        <v>25</v>
      </c>
      <c r="D143" s="6">
        <v>0.883414793078427</v>
      </c>
      <c r="E143" s="6">
        <v>0.944963261482774</v>
      </c>
      <c r="F143" s="6">
        <v>0.940940809029476</v>
      </c>
      <c r="G143" s="6">
        <v>0.884696883008904</v>
      </c>
      <c r="H143" s="6">
        <v>0.883929710144533</v>
      </c>
      <c r="I143" s="6">
        <v>0.882203394613923</v>
      </c>
      <c r="J143" s="7">
        <v>4.75080254499199</v>
      </c>
      <c r="K143" s="7">
        <v>6.90771814716529</v>
      </c>
      <c r="L143" s="8">
        <v>91.6</v>
      </c>
      <c r="M143" s="8">
        <v>73.4</v>
      </c>
      <c r="N143" s="8">
        <f t="shared" si="16"/>
        <v>165</v>
      </c>
      <c r="O143" s="8">
        <v>496.8</v>
      </c>
      <c r="P143" s="8">
        <v>532.8</v>
      </c>
      <c r="Q143" s="8">
        <f t="shared" si="17"/>
        <v>1029.6</v>
      </c>
      <c r="R143" s="6">
        <v>0.0263974008406282</v>
      </c>
      <c r="S143" s="6">
        <v>0.0120166868525861</v>
      </c>
      <c r="T143" s="6">
        <v>0.0129490458327227</v>
      </c>
      <c r="U143" s="6">
        <v>0.0215432721306311</v>
      </c>
      <c r="V143" s="6">
        <v>0.0238775843602238</v>
      </c>
      <c r="W143" s="6">
        <v>0.0260149510694501</v>
      </c>
      <c r="X143" s="6">
        <v>1.51505926204797</v>
      </c>
      <c r="Y143" s="6">
        <v>3.34860992227011</v>
      </c>
    </row>
    <row r="144">
      <c r="A144" s="4"/>
      <c r="B144" s="4"/>
      <c r="C144" s="5" t="s">
        <v>26</v>
      </c>
      <c r="D144" s="6">
        <v>0.321093568003658</v>
      </c>
      <c r="E144" s="6">
        <v>0.594809616045365</v>
      </c>
      <c r="F144" s="6">
        <v>0.620545813435685</v>
      </c>
      <c r="G144" s="6">
        <v>0.481225247033156</v>
      </c>
      <c r="H144" s="6">
        <v>0.504461065959075</v>
      </c>
      <c r="I144" s="6">
        <v>0.258412822271734</v>
      </c>
      <c r="J144" s="7">
        <v>0.425979519940546</v>
      </c>
      <c r="K144" s="7">
        <v>67.4646636796935</v>
      </c>
      <c r="L144" s="8">
        <v>100.4</v>
      </c>
      <c r="M144" s="8">
        <v>45.0</v>
      </c>
      <c r="N144" s="8">
        <f t="shared" si="16"/>
        <v>145.4</v>
      </c>
      <c r="O144" s="8">
        <v>477.4</v>
      </c>
      <c r="P144" s="8">
        <v>397.2</v>
      </c>
      <c r="Q144" s="8">
        <f t="shared" si="17"/>
        <v>874.6</v>
      </c>
      <c r="R144" s="6">
        <v>0.0403150941481473</v>
      </c>
      <c r="S144" s="6">
        <v>0.219540548451632</v>
      </c>
      <c r="T144" s="6">
        <v>0.148828868711589</v>
      </c>
      <c r="U144" s="6">
        <v>0.191835025913528</v>
      </c>
      <c r="V144" s="6">
        <v>0.0151868872337745</v>
      </c>
      <c r="W144" s="6">
        <v>0.0387949551452833</v>
      </c>
      <c r="X144" s="6">
        <v>0.348272480561512</v>
      </c>
      <c r="Y144" s="6">
        <v>3.96362606129871</v>
      </c>
    </row>
    <row r="145">
      <c r="A145" s="4"/>
      <c r="B145" s="4"/>
      <c r="C145" s="5" t="s">
        <v>27</v>
      </c>
      <c r="D145" s="6">
        <v>0.750029520737098</v>
      </c>
      <c r="E145" s="6">
        <v>0.876204178672179</v>
      </c>
      <c r="F145" s="6">
        <v>0.862083307233848</v>
      </c>
      <c r="G145" s="6">
        <v>0.783563805167578</v>
      </c>
      <c r="H145" s="6">
        <v>0.741213232510774</v>
      </c>
      <c r="I145" s="6">
        <v>0.73304013443421</v>
      </c>
      <c r="J145" s="7">
        <v>5.06354266951391</v>
      </c>
      <c r="K145" s="7">
        <v>19.9335052567762</v>
      </c>
      <c r="L145" s="8">
        <v>42.0</v>
      </c>
      <c r="M145" s="8">
        <v>49.8</v>
      </c>
      <c r="N145" s="8">
        <f t="shared" si="16"/>
        <v>91.8</v>
      </c>
      <c r="O145" s="8">
        <v>223.4</v>
      </c>
      <c r="P145" s="8">
        <v>573.8</v>
      </c>
      <c r="Q145" s="8">
        <f t="shared" si="17"/>
        <v>797.2</v>
      </c>
      <c r="R145" s="6">
        <v>0.068996924950723</v>
      </c>
      <c r="S145" s="6">
        <v>0.0314241171222563</v>
      </c>
      <c r="T145" s="6">
        <v>0.0352842738782549</v>
      </c>
      <c r="U145" s="6">
        <v>0.0522721380506683</v>
      </c>
      <c r="V145" s="6">
        <v>0.0672527914985575</v>
      </c>
      <c r="W145" s="6">
        <v>0.0762483594525333</v>
      </c>
      <c r="X145" s="6">
        <v>3.24010408996671</v>
      </c>
      <c r="Y145" s="6">
        <v>8.16453260920318</v>
      </c>
    </row>
    <row r="146">
      <c r="C146" s="5" t="s">
        <v>44</v>
      </c>
      <c r="D146" s="6">
        <v>0.393978513160722</v>
      </c>
      <c r="E146" s="6">
        <v>0.546736820025133</v>
      </c>
      <c r="F146" s="6">
        <v>0.57181623952531</v>
      </c>
      <c r="G146" s="6">
        <v>0.638762264148185</v>
      </c>
      <c r="H146" s="6">
        <v>0.529295061984021</v>
      </c>
      <c r="I146" s="6">
        <v>0.330478307230456</v>
      </c>
      <c r="J146" s="7">
        <v>0.387970103087228</v>
      </c>
      <c r="K146" s="7">
        <v>60.2141785808404</v>
      </c>
      <c r="L146" s="8">
        <v>98.6</v>
      </c>
      <c r="M146" s="8">
        <v>53.6</v>
      </c>
      <c r="N146" s="8">
        <f t="shared" si="16"/>
        <v>152.2</v>
      </c>
      <c r="O146" s="8">
        <v>665.6</v>
      </c>
      <c r="P146" s="8">
        <v>335.6</v>
      </c>
      <c r="Q146" s="8">
        <f t="shared" si="17"/>
        <v>1001.2</v>
      </c>
      <c r="R146" s="6">
        <v>0.0178118826271528</v>
      </c>
      <c r="S146" s="6">
        <v>0.161811443282481</v>
      </c>
      <c r="T146" s="6">
        <v>0.0828545858241221</v>
      </c>
      <c r="U146" s="6">
        <v>0.0346069991379236</v>
      </c>
      <c r="V146" s="6">
        <v>0.0168065182626128</v>
      </c>
      <c r="W146" s="6">
        <v>0.021097367998582</v>
      </c>
      <c r="X146" s="6">
        <v>0.317690591209536</v>
      </c>
      <c r="Y146" s="6">
        <v>1.9667735733624</v>
      </c>
    </row>
    <row r="147">
      <c r="C147" s="5" t="s">
        <v>45</v>
      </c>
      <c r="D147" s="6">
        <v>0.930377002656592</v>
      </c>
      <c r="E147" s="6">
        <v>0.536960323763421</v>
      </c>
      <c r="F147" s="6">
        <v>0.527270906199672</v>
      </c>
      <c r="G147" s="6">
        <v>0.465188501328296</v>
      </c>
      <c r="H147" s="6">
        <v>0.5</v>
      </c>
      <c r="I147" s="6">
        <v>0.481905929749814</v>
      </c>
      <c r="J147" s="7">
        <v>0.0</v>
      </c>
      <c r="K147" s="7">
        <v>6.96229973434078</v>
      </c>
      <c r="L147" s="8">
        <v>8.4</v>
      </c>
      <c r="M147" s="8">
        <v>112.4</v>
      </c>
      <c r="N147" s="8">
        <f t="shared" si="16"/>
        <v>120.8</v>
      </c>
      <c r="O147" s="8">
        <v>10.0</v>
      </c>
      <c r="P147" s="8">
        <v>153.4</v>
      </c>
      <c r="Q147" s="8">
        <f t="shared" si="17"/>
        <v>163.4</v>
      </c>
      <c r="R147" s="6">
        <v>0.0208155324873684</v>
      </c>
      <c r="S147" s="6">
        <v>0.0675174905898459</v>
      </c>
      <c r="T147" s="6">
        <v>0.0252672718920067</v>
      </c>
      <c r="U147" s="6">
        <v>0.0104077662436842</v>
      </c>
      <c r="V147" s="6">
        <v>0.0</v>
      </c>
      <c r="W147" s="6">
        <v>0.00561518864818431</v>
      </c>
      <c r="X147" s="6">
        <v>0.0</v>
      </c>
      <c r="Y147" s="6">
        <v>2.08155324873684</v>
      </c>
    </row>
    <row r="148">
      <c r="A148" s="4"/>
      <c r="B148" s="4"/>
      <c r="C148" s="5" t="s">
        <v>28</v>
      </c>
      <c r="D148" s="6">
        <v>0.706410584212106</v>
      </c>
      <c r="E148" s="6">
        <v>0.758368946896793</v>
      </c>
      <c r="F148" s="6">
        <v>0.734612224781508</v>
      </c>
      <c r="G148" s="6">
        <v>0.677308019906384</v>
      </c>
      <c r="H148" s="6">
        <v>0.663557527569971</v>
      </c>
      <c r="I148" s="6">
        <v>0.666899018264724</v>
      </c>
      <c r="J148" s="7">
        <v>12.5902604154572</v>
      </c>
      <c r="K148" s="7">
        <v>16.7686811633321</v>
      </c>
      <c r="L148" s="8">
        <v>45.6</v>
      </c>
      <c r="M148" s="8">
        <v>83.6</v>
      </c>
      <c r="N148" s="8">
        <f t="shared" si="16"/>
        <v>129.2</v>
      </c>
      <c r="O148" s="8">
        <v>241.8</v>
      </c>
      <c r="P148" s="8">
        <v>662.4</v>
      </c>
      <c r="Q148" s="8">
        <f t="shared" si="17"/>
        <v>904.2</v>
      </c>
      <c r="R148" s="6">
        <v>0.0255047533043159</v>
      </c>
      <c r="S148" s="6">
        <v>0.0364201627673705</v>
      </c>
      <c r="T148" s="6">
        <v>0.0319107969096358</v>
      </c>
      <c r="U148" s="6">
        <v>0.0236030794284973</v>
      </c>
      <c r="V148" s="6">
        <v>0.0221419882575688</v>
      </c>
      <c r="W148" s="6">
        <v>0.0219503243440207</v>
      </c>
      <c r="X148" s="6">
        <v>2.79843887601212</v>
      </c>
      <c r="Y148" s="6">
        <v>2.15680132909215</v>
      </c>
    </row>
    <row r="149">
      <c r="C149" s="5" t="s">
        <v>46</v>
      </c>
      <c r="D149" s="6">
        <v>0.79456719383173</v>
      </c>
      <c r="E149" s="6">
        <v>0.590167054614168</v>
      </c>
      <c r="F149" s="6">
        <v>0.568273052361657</v>
      </c>
      <c r="G149" s="6">
        <v>0.397283596915865</v>
      </c>
      <c r="H149" s="6">
        <v>0.5</v>
      </c>
      <c r="I149" s="6">
        <v>0.442735504523855</v>
      </c>
      <c r="J149" s="7">
        <v>0.0</v>
      </c>
      <c r="K149" s="7">
        <v>20.5432806168269</v>
      </c>
      <c r="L149" s="8">
        <v>48.2</v>
      </c>
      <c r="M149" s="8">
        <v>186.2</v>
      </c>
      <c r="N149" s="8">
        <f t="shared" si="16"/>
        <v>234.4</v>
      </c>
      <c r="O149" s="8">
        <v>85.0</v>
      </c>
      <c r="P149" s="8">
        <v>557.4</v>
      </c>
      <c r="Q149" s="8">
        <f t="shared" si="17"/>
        <v>642.4</v>
      </c>
      <c r="R149" s="6">
        <v>0.0125039854231988</v>
      </c>
      <c r="S149" s="6">
        <v>0.0750365525997979</v>
      </c>
      <c r="T149" s="6">
        <v>0.0536750605269503</v>
      </c>
      <c r="U149" s="6">
        <v>0.00625199271159946</v>
      </c>
      <c r="V149" s="6">
        <v>0.0</v>
      </c>
      <c r="W149" s="6">
        <v>0.00388536718403077</v>
      </c>
      <c r="X149" s="6">
        <v>0.0</v>
      </c>
      <c r="Y149" s="6">
        <v>1.25039854231988</v>
      </c>
    </row>
    <row r="150">
      <c r="A150" s="4"/>
      <c r="B150" s="4"/>
      <c r="C150" s="5" t="s">
        <v>29</v>
      </c>
      <c r="D150" s="6">
        <v>0.940026663764488</v>
      </c>
      <c r="E150" s="6">
        <v>0.953299015113573</v>
      </c>
      <c r="F150" s="6">
        <v>0.948640992006548</v>
      </c>
      <c r="G150" s="6">
        <v>0.939316780800046</v>
      </c>
      <c r="H150" s="6">
        <v>0.936298468866033</v>
      </c>
      <c r="I150" s="6">
        <v>0.936675923692211</v>
      </c>
      <c r="J150" s="7">
        <v>2.58702000689267</v>
      </c>
      <c r="K150" s="7">
        <v>3.4103136166585</v>
      </c>
      <c r="L150" s="8">
        <v>37.6</v>
      </c>
      <c r="M150" s="8">
        <v>57.4</v>
      </c>
      <c r="N150" s="8">
        <f t="shared" si="16"/>
        <v>95</v>
      </c>
      <c r="O150" s="8">
        <v>303.2</v>
      </c>
      <c r="P150" s="8">
        <v>550.8</v>
      </c>
      <c r="Q150" s="8">
        <f t="shared" si="17"/>
        <v>854</v>
      </c>
      <c r="R150" s="6">
        <v>0.0164763656226688</v>
      </c>
      <c r="S150" s="6">
        <v>0.027161919804383</v>
      </c>
      <c r="T150" s="6">
        <v>0.0306712105105175</v>
      </c>
      <c r="U150" s="6">
        <v>0.0186550250949156</v>
      </c>
      <c r="V150" s="6">
        <v>0.0162399523536016</v>
      </c>
      <c r="W150" s="6">
        <v>0.0170732732700135</v>
      </c>
      <c r="X150" s="6">
        <v>1.78589562946461</v>
      </c>
      <c r="Y150" s="6">
        <v>1.7728682948685</v>
      </c>
    </row>
    <row r="151">
      <c r="C151" s="5" t="s">
        <v>47</v>
      </c>
      <c r="D151" s="6">
        <v>0.0</v>
      </c>
      <c r="E151" s="6"/>
      <c r="F151" s="6">
        <v>1.0</v>
      </c>
      <c r="G151" s="6">
        <v>0.0</v>
      </c>
      <c r="H151" s="6">
        <v>0.0</v>
      </c>
      <c r="I151" s="6">
        <v>0.0</v>
      </c>
      <c r="J151" s="7">
        <v>0.0</v>
      </c>
      <c r="K151" s="7">
        <v>0.0</v>
      </c>
      <c r="L151" s="8">
        <v>0.0</v>
      </c>
      <c r="M151" s="8">
        <v>0.0</v>
      </c>
      <c r="N151" s="8">
        <f t="shared" si="16"/>
        <v>0</v>
      </c>
      <c r="O151" s="8">
        <v>11.4</v>
      </c>
      <c r="P151" s="8">
        <v>26.6</v>
      </c>
      <c r="Q151" s="8">
        <f t="shared" si="17"/>
        <v>38</v>
      </c>
      <c r="R151" s="6">
        <v>0.0</v>
      </c>
      <c r="S151" s="6"/>
      <c r="T151" s="6">
        <v>9.93013661298909E-17</v>
      </c>
      <c r="U151" s="6">
        <v>0.0</v>
      </c>
      <c r="V151" s="6">
        <v>0.0</v>
      </c>
      <c r="W151" s="6">
        <v>0.0</v>
      </c>
      <c r="X151" s="6">
        <v>0.0</v>
      </c>
      <c r="Y151" s="6">
        <v>0.0</v>
      </c>
    </row>
    <row r="152">
      <c r="C152" s="5" t="s">
        <v>30</v>
      </c>
      <c r="D152" s="6">
        <v>0.965064387265364</v>
      </c>
      <c r="E152" s="6">
        <v>0.792702822242404</v>
      </c>
      <c r="F152" s="6">
        <v>0.649449023248451</v>
      </c>
      <c r="G152" s="6">
        <v>0.482532193632682</v>
      </c>
      <c r="H152" s="6">
        <v>0.5</v>
      </c>
      <c r="I152" s="6">
        <v>0.49109943546483</v>
      </c>
      <c r="J152" s="7">
        <v>0.0</v>
      </c>
      <c r="K152" s="7">
        <v>3.49356127346352</v>
      </c>
      <c r="L152" s="8">
        <v>3.8</v>
      </c>
      <c r="M152" s="8">
        <v>105.2</v>
      </c>
      <c r="N152" s="8">
        <f t="shared" si="16"/>
        <v>109</v>
      </c>
      <c r="O152" s="8">
        <v>80.4</v>
      </c>
      <c r="P152" s="8">
        <v>822.2</v>
      </c>
      <c r="Q152" s="8">
        <f t="shared" si="17"/>
        <v>902.6</v>
      </c>
      <c r="R152" s="6">
        <v>0.00928631680712211</v>
      </c>
      <c r="S152" s="6">
        <v>0.204887089009194</v>
      </c>
      <c r="T152" s="6">
        <v>0.0892829415869099</v>
      </c>
      <c r="U152" s="6">
        <v>0.00464315840356105</v>
      </c>
      <c r="V152" s="6">
        <v>0.0</v>
      </c>
      <c r="W152" s="6">
        <v>0.00240956983861101</v>
      </c>
      <c r="X152" s="6">
        <v>0.0</v>
      </c>
      <c r="Y152" s="6">
        <v>0.928631680712208</v>
      </c>
    </row>
    <row r="153">
      <c r="A153" s="1"/>
      <c r="B153" s="1"/>
      <c r="C153" s="5" t="s">
        <v>31</v>
      </c>
      <c r="D153" s="6">
        <f t="shared" ref="D153:K153" si="18">MEDIAN(D125:D152)</f>
        <v>0.8488407841</v>
      </c>
      <c r="E153" s="6">
        <f t="shared" si="18"/>
        <v>0.7966796075</v>
      </c>
      <c r="F153" s="6">
        <f t="shared" si="18"/>
        <v>0.7437623113</v>
      </c>
      <c r="G153" s="6">
        <f t="shared" si="18"/>
        <v>0.6000745932</v>
      </c>
      <c r="H153" s="6">
        <f t="shared" si="18"/>
        <v>0.5200322758</v>
      </c>
      <c r="I153" s="6">
        <f t="shared" si="18"/>
        <v>0.4917543031</v>
      </c>
      <c r="J153" s="7">
        <f t="shared" si="18"/>
        <v>1.043772626</v>
      </c>
      <c r="K153" s="7">
        <f t="shared" si="18"/>
        <v>6.935008941</v>
      </c>
    </row>
    <row r="154">
      <c r="F154" s="1"/>
    </row>
    <row r="155">
      <c r="A155" s="10"/>
      <c r="B155" s="10"/>
      <c r="C155" s="11" t="s">
        <v>50</v>
      </c>
      <c r="D155" s="10"/>
      <c r="E155" s="10"/>
      <c r="F155" s="1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C156" s="1" t="s">
        <v>0</v>
      </c>
      <c r="D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B156" s="13" t="s">
        <v>51</v>
      </c>
      <c r="AC156" s="1"/>
      <c r="AD156" s="1"/>
      <c r="AE156" s="1"/>
      <c r="AF156" s="1"/>
    </row>
    <row r="157">
      <c r="C157" s="3" t="s">
        <v>1</v>
      </c>
      <c r="D157" s="3" t="s">
        <v>2</v>
      </c>
      <c r="E157" s="3" t="s">
        <v>3</v>
      </c>
      <c r="F157" s="3" t="s">
        <v>4</v>
      </c>
      <c r="G157" s="3" t="s">
        <v>5</v>
      </c>
      <c r="H157" s="3" t="s">
        <v>6</v>
      </c>
      <c r="I157" s="3" t="s">
        <v>7</v>
      </c>
      <c r="J157" s="3" t="s">
        <v>8</v>
      </c>
      <c r="K157" s="3" t="s">
        <v>9</v>
      </c>
      <c r="L157" s="3" t="s">
        <v>10</v>
      </c>
      <c r="M157" s="3" t="s">
        <v>11</v>
      </c>
      <c r="N157" s="3" t="s">
        <v>12</v>
      </c>
      <c r="O157" s="3" t="s">
        <v>13</v>
      </c>
      <c r="P157" s="3" t="s">
        <v>14</v>
      </c>
      <c r="Q157" s="3" t="s">
        <v>15</v>
      </c>
      <c r="R157" s="3" t="s">
        <v>2</v>
      </c>
      <c r="S157" s="3" t="s">
        <v>3</v>
      </c>
      <c r="T157" s="3" t="s">
        <v>4</v>
      </c>
      <c r="U157" s="3" t="s">
        <v>5</v>
      </c>
      <c r="V157" s="3" t="s">
        <v>6</v>
      </c>
      <c r="W157" s="3" t="s">
        <v>7</v>
      </c>
      <c r="X157" s="3" t="s">
        <v>8</v>
      </c>
      <c r="Y157" s="3" t="s">
        <v>9</v>
      </c>
      <c r="AB157" s="3" t="s">
        <v>1</v>
      </c>
      <c r="AC157" s="3" t="s">
        <v>2</v>
      </c>
      <c r="AD157" s="3" t="s">
        <v>3</v>
      </c>
      <c r="AE157" s="3" t="s">
        <v>7</v>
      </c>
    </row>
    <row r="158">
      <c r="C158" s="14" t="s">
        <v>16</v>
      </c>
      <c r="D158" s="15">
        <v>0.766666666666666</v>
      </c>
      <c r="E158" s="15">
        <v>0.785732669257956</v>
      </c>
      <c r="F158" s="15">
        <v>0.746713671366245</v>
      </c>
      <c r="G158" s="15">
        <v>0.727532600133292</v>
      </c>
      <c r="H158" s="15">
        <v>0.602748678392894</v>
      </c>
      <c r="I158" s="15">
        <v>0.60939380742785</v>
      </c>
      <c r="J158" s="16">
        <v>20.0666666666666</v>
      </c>
      <c r="K158" s="16">
        <v>3.26666666666666</v>
      </c>
      <c r="L158" s="17">
        <v>219.6</v>
      </c>
      <c r="M158" s="17">
        <v>80.4</v>
      </c>
      <c r="N158" s="17">
        <f t="shared" ref="N158:N160" si="19">L158+M158</f>
        <v>300</v>
      </c>
      <c r="O158" s="17">
        <v>874.8</v>
      </c>
      <c r="P158" s="17">
        <v>325.2</v>
      </c>
      <c r="Q158" s="17">
        <f t="shared" ref="Q158:Q160" si="20">O158+P158</f>
        <v>1200</v>
      </c>
      <c r="R158" s="15">
        <v>0.0150554530541816</v>
      </c>
      <c r="S158" s="15">
        <v>0.0354899197078827</v>
      </c>
      <c r="T158" s="15">
        <v>0.0363940171403834</v>
      </c>
      <c r="U158" s="15">
        <v>0.0456895062932965</v>
      </c>
      <c r="V158" s="15">
        <v>0.0218302622403929</v>
      </c>
      <c r="W158" s="15">
        <v>0.0269391319172679</v>
      </c>
      <c r="X158" s="15">
        <v>1.92527054375915</v>
      </c>
      <c r="Y158" s="15">
        <v>1.38884444373331</v>
      </c>
      <c r="Z158" s="1"/>
      <c r="AB158" s="14" t="s">
        <v>16</v>
      </c>
      <c r="AC158" s="15">
        <v>0.766666666666666</v>
      </c>
      <c r="AD158" s="15">
        <v>0.785732669257956</v>
      </c>
      <c r="AE158" s="15">
        <v>0.60939380742785</v>
      </c>
      <c r="AF158" s="1"/>
    </row>
    <row r="159">
      <c r="C159" s="14" t="s">
        <v>25</v>
      </c>
      <c r="D159" s="18">
        <v>0.861333333333333</v>
      </c>
      <c r="E159" s="18">
        <v>0.906732616957294</v>
      </c>
      <c r="F159" s="18">
        <v>0.892625254382605</v>
      </c>
      <c r="G159" s="18">
        <v>0.862237507568674</v>
      </c>
      <c r="H159" s="18">
        <v>0.861347875188745</v>
      </c>
      <c r="I159" s="18">
        <v>0.861079573680191</v>
      </c>
      <c r="J159" s="16">
        <v>8.33333333333333</v>
      </c>
      <c r="K159" s="16">
        <v>5.53333333333333</v>
      </c>
      <c r="L159" s="17">
        <v>148.8</v>
      </c>
      <c r="M159" s="17">
        <v>151.2</v>
      </c>
      <c r="N159" s="17">
        <f t="shared" si="19"/>
        <v>300</v>
      </c>
      <c r="O159" s="17">
        <v>537.4</v>
      </c>
      <c r="P159" s="17">
        <v>662.6</v>
      </c>
      <c r="Q159" s="17">
        <f t="shared" si="20"/>
        <v>1200</v>
      </c>
      <c r="R159" s="15">
        <v>0.0182086670449968</v>
      </c>
      <c r="S159" s="15">
        <v>0.0116241723633483</v>
      </c>
      <c r="T159" s="15">
        <v>0.0203545314846964</v>
      </c>
      <c r="U159" s="15">
        <v>0.0176093574535377</v>
      </c>
      <c r="V159" s="15">
        <v>0.0185537463350555</v>
      </c>
      <c r="W159" s="15">
        <v>0.0183848000716639</v>
      </c>
      <c r="X159" s="15">
        <v>1.22927259430571</v>
      </c>
      <c r="Y159" s="15">
        <v>0.618241233033047</v>
      </c>
      <c r="Z159" s="1"/>
      <c r="AB159" s="14" t="s">
        <v>25</v>
      </c>
      <c r="AC159" s="18">
        <v>0.861333333333333</v>
      </c>
      <c r="AD159" s="18">
        <v>0.906732616957294</v>
      </c>
      <c r="AE159" s="18">
        <v>0.861079573680191</v>
      </c>
      <c r="AF159" s="1"/>
    </row>
    <row r="160">
      <c r="C160" s="14" t="s">
        <v>28</v>
      </c>
      <c r="D160" s="15">
        <v>0.806394930639013</v>
      </c>
      <c r="E160" s="18">
        <v>0.864410212038769</v>
      </c>
      <c r="F160" s="15">
        <v>0.826782073824829</v>
      </c>
      <c r="G160" s="15">
        <v>0.781688522180967</v>
      </c>
      <c r="H160" s="15">
        <v>0.795699599446565</v>
      </c>
      <c r="I160" s="15">
        <v>0.785364884842097</v>
      </c>
      <c r="J160" s="16">
        <v>11.5551066908811</v>
      </c>
      <c r="K160" s="16">
        <v>7.80540024521744</v>
      </c>
      <c r="L160" s="17">
        <v>79.2</v>
      </c>
      <c r="M160" s="17">
        <v>163.6</v>
      </c>
      <c r="N160" s="17">
        <f t="shared" si="19"/>
        <v>242.8</v>
      </c>
      <c r="O160" s="17">
        <v>194.4</v>
      </c>
      <c r="P160" s="17">
        <v>1005.6</v>
      </c>
      <c r="Q160" s="17">
        <f t="shared" si="20"/>
        <v>1200</v>
      </c>
      <c r="R160" s="15">
        <v>0.0255910902175339</v>
      </c>
      <c r="S160" s="15">
        <v>0.0133550662236884</v>
      </c>
      <c r="T160" s="15">
        <v>0.0264292799517082</v>
      </c>
      <c r="U160" s="15">
        <v>0.0314715338588325</v>
      </c>
      <c r="V160" s="15">
        <v>0.030338811556663</v>
      </c>
      <c r="W160" s="15">
        <v>0.0302781367299314</v>
      </c>
      <c r="X160" s="15">
        <v>2.87480745889553</v>
      </c>
      <c r="Y160" s="15">
        <v>2.2122567110125</v>
      </c>
      <c r="Z160" s="1"/>
      <c r="AB160" s="14" t="s">
        <v>28</v>
      </c>
      <c r="AC160" s="15">
        <v>0.806394930639013</v>
      </c>
      <c r="AD160" s="18">
        <v>0.864410212038769</v>
      </c>
      <c r="AE160" s="15">
        <v>0.785364884842097</v>
      </c>
      <c r="AF160" s="1"/>
    </row>
    <row r="161">
      <c r="C161" s="14" t="s">
        <v>31</v>
      </c>
      <c r="D161" s="18">
        <f t="shared" ref="D161:K161" si="21">MEDIAN(D158:D160)</f>
        <v>0.8063949306</v>
      </c>
      <c r="E161" s="18">
        <f t="shared" si="21"/>
        <v>0.864410212</v>
      </c>
      <c r="F161" s="18">
        <f t="shared" si="21"/>
        <v>0.8267820738</v>
      </c>
      <c r="G161" s="18">
        <f t="shared" si="21"/>
        <v>0.7816885222</v>
      </c>
      <c r="H161" s="18">
        <f t="shared" si="21"/>
        <v>0.7956995994</v>
      </c>
      <c r="I161" s="18">
        <f t="shared" si="21"/>
        <v>0.7853648848</v>
      </c>
      <c r="J161" s="16">
        <f t="shared" si="21"/>
        <v>11.55510669</v>
      </c>
      <c r="K161" s="16">
        <f t="shared" si="21"/>
        <v>5.533333333</v>
      </c>
      <c r="R161" s="19">
        <f t="shared" ref="R161:Y161" si="22">MEDIAN(R158:R160)</f>
        <v>0.01820866704</v>
      </c>
      <c r="S161" s="19">
        <f t="shared" si="22"/>
        <v>0.01335506622</v>
      </c>
      <c r="T161" s="19">
        <f t="shared" si="22"/>
        <v>0.02642927995</v>
      </c>
      <c r="U161" s="19">
        <f t="shared" si="22"/>
        <v>0.03147153386</v>
      </c>
      <c r="V161" s="19">
        <f t="shared" si="22"/>
        <v>0.02183026224</v>
      </c>
      <c r="W161" s="19">
        <f t="shared" si="22"/>
        <v>0.02693913192</v>
      </c>
      <c r="X161" s="19">
        <f t="shared" si="22"/>
        <v>1.925270544</v>
      </c>
      <c r="Y161" s="19">
        <f t="shared" si="22"/>
        <v>1.388844444</v>
      </c>
      <c r="AB161" s="14" t="s">
        <v>16</v>
      </c>
      <c r="AC161" s="18">
        <v>0.921333333333333</v>
      </c>
      <c r="AD161" s="18">
        <v>0.941530628040241</v>
      </c>
      <c r="AE161" s="18">
        <v>0.900196793574061</v>
      </c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4" t="s">
        <v>25</v>
      </c>
      <c r="AC162" s="18">
        <v>0.872666666666666</v>
      </c>
      <c r="AD162" s="18">
        <v>0.949259156233995</v>
      </c>
      <c r="AE162" s="18">
        <v>0.871182284313492</v>
      </c>
      <c r="AF162" s="1"/>
    </row>
    <row r="163">
      <c r="C163" s="1" t="s">
        <v>32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4" t="s">
        <v>28</v>
      </c>
      <c r="AC163" s="15">
        <v>0.841333333333333</v>
      </c>
      <c r="AD163" s="15">
        <v>0.827520113267064</v>
      </c>
      <c r="AE163" s="15">
        <v>0.698631484189185</v>
      </c>
      <c r="AF163" s="1"/>
    </row>
    <row r="164">
      <c r="C164" s="20" t="s">
        <v>1</v>
      </c>
      <c r="D164" s="20" t="s">
        <v>2</v>
      </c>
      <c r="E164" s="20" t="s">
        <v>3</v>
      </c>
      <c r="F164" s="20" t="s">
        <v>4</v>
      </c>
      <c r="G164" s="20" t="s">
        <v>5</v>
      </c>
      <c r="H164" s="20" t="s">
        <v>6</v>
      </c>
      <c r="I164" s="20" t="s">
        <v>7</v>
      </c>
      <c r="J164" s="20" t="s">
        <v>8</v>
      </c>
      <c r="K164" s="20" t="s">
        <v>9</v>
      </c>
      <c r="L164" s="20" t="s">
        <v>10</v>
      </c>
      <c r="M164" s="20" t="s">
        <v>11</v>
      </c>
      <c r="N164" s="20" t="s">
        <v>12</v>
      </c>
      <c r="O164" s="20" t="s">
        <v>13</v>
      </c>
      <c r="P164" s="20" t="s">
        <v>14</v>
      </c>
      <c r="Q164" s="20" t="s">
        <v>15</v>
      </c>
      <c r="R164" s="20" t="s">
        <v>2</v>
      </c>
      <c r="S164" s="20" t="s">
        <v>3</v>
      </c>
      <c r="T164" s="20" t="s">
        <v>4</v>
      </c>
      <c r="U164" s="20" t="s">
        <v>5</v>
      </c>
      <c r="V164" s="20" t="s">
        <v>6</v>
      </c>
      <c r="W164" s="20" t="s">
        <v>7</v>
      </c>
      <c r="X164" s="20" t="s">
        <v>8</v>
      </c>
      <c r="Y164" s="20" t="s">
        <v>9</v>
      </c>
      <c r="Z164" s="1"/>
      <c r="AA164" s="1"/>
      <c r="AB164" s="14" t="s">
        <v>16</v>
      </c>
      <c r="AC164" s="15">
        <v>0.759548229548229</v>
      </c>
      <c r="AD164" s="18">
        <v>0.856966155706495</v>
      </c>
      <c r="AE164" s="15">
        <v>0.721338639793005</v>
      </c>
      <c r="AF164" s="1"/>
    </row>
    <row r="165">
      <c r="C165" s="14" t="s">
        <v>16</v>
      </c>
      <c r="D165" s="18">
        <v>0.921333333333333</v>
      </c>
      <c r="E165" s="18">
        <v>0.941530628040241</v>
      </c>
      <c r="F165" s="18">
        <v>0.930047365029005</v>
      </c>
      <c r="G165" s="18">
        <v>0.899054334112328</v>
      </c>
      <c r="H165" s="18">
        <v>0.901581194159162</v>
      </c>
      <c r="I165" s="18">
        <v>0.900196793574061</v>
      </c>
      <c r="J165" s="16">
        <v>3.8</v>
      </c>
      <c r="K165" s="16">
        <v>4.06666666666666</v>
      </c>
      <c r="L165" s="17">
        <v>218.6</v>
      </c>
      <c r="M165" s="17">
        <v>81.4</v>
      </c>
      <c r="N165" s="17">
        <f t="shared" ref="N165:N167" si="23">L165+M165</f>
        <v>300</v>
      </c>
      <c r="O165" s="17">
        <v>874.8</v>
      </c>
      <c r="P165" s="17">
        <v>325.2</v>
      </c>
      <c r="Q165" s="17">
        <f t="shared" ref="Q165:Q167" si="24">O165+P165</f>
        <v>1200</v>
      </c>
      <c r="R165" s="15">
        <v>0.0143913554299486</v>
      </c>
      <c r="S165" s="15">
        <v>0.0117256309774809</v>
      </c>
      <c r="T165" s="15">
        <v>0.0100349853714334</v>
      </c>
      <c r="U165" s="15">
        <v>0.0221320151625535</v>
      </c>
      <c r="V165" s="15">
        <v>0.0173892750835482</v>
      </c>
      <c r="W165" s="15">
        <v>0.0195970259741538</v>
      </c>
      <c r="X165" s="15">
        <v>0.541602560309064</v>
      </c>
      <c r="Y165" s="15">
        <v>1.04136662345422</v>
      </c>
      <c r="Z165" s="1"/>
      <c r="AA165" s="1"/>
      <c r="AB165" s="14" t="s">
        <v>25</v>
      </c>
      <c r="AC165" s="15">
        <v>0.816334015179917</v>
      </c>
      <c r="AD165" s="18">
        <v>0.897689892599178</v>
      </c>
      <c r="AE165" s="15">
        <v>0.815721111961877</v>
      </c>
      <c r="AF165" s="1"/>
    </row>
    <row r="166">
      <c r="C166" s="14" t="s">
        <v>25</v>
      </c>
      <c r="D166" s="18">
        <v>0.872666666666666</v>
      </c>
      <c r="E166" s="18">
        <v>0.949259156233995</v>
      </c>
      <c r="F166" s="18">
        <v>0.947312436984006</v>
      </c>
      <c r="G166" s="18">
        <v>0.872339397181536</v>
      </c>
      <c r="H166" s="18">
        <v>0.872297952796047</v>
      </c>
      <c r="I166" s="18">
        <v>0.871182284313492</v>
      </c>
      <c r="J166" s="16">
        <v>6.46666666666666</v>
      </c>
      <c r="K166" s="16">
        <v>6.26666666666666</v>
      </c>
      <c r="L166" s="17">
        <v>134.0</v>
      </c>
      <c r="M166" s="17">
        <v>166.0</v>
      </c>
      <c r="N166" s="17">
        <f t="shared" si="23"/>
        <v>300</v>
      </c>
      <c r="O166" s="17">
        <v>537.4</v>
      </c>
      <c r="P166" s="17">
        <v>662.6</v>
      </c>
      <c r="Q166" s="17">
        <f t="shared" si="24"/>
        <v>1200</v>
      </c>
      <c r="R166" s="15">
        <v>0.0097524925588852</v>
      </c>
      <c r="S166" s="15">
        <v>0.013729647656712</v>
      </c>
      <c r="T166" s="15">
        <v>0.0136390353545771</v>
      </c>
      <c r="U166" s="15">
        <v>0.00798046840054801</v>
      </c>
      <c r="V166" s="15">
        <v>0.0114282682837196</v>
      </c>
      <c r="W166" s="15">
        <v>0.00973838604732542</v>
      </c>
      <c r="X166" s="15">
        <v>1.58605030044937</v>
      </c>
      <c r="Y166" s="15">
        <v>2.08059820457696</v>
      </c>
      <c r="Z166" s="1"/>
      <c r="AA166" s="1"/>
      <c r="AB166" s="14" t="s">
        <v>28</v>
      </c>
      <c r="AC166" s="15">
        <v>0.729041904530285</v>
      </c>
      <c r="AD166" s="15">
        <v>0.760345117536536</v>
      </c>
      <c r="AE166" s="15">
        <v>0.701012619515337</v>
      </c>
      <c r="AF166" s="1"/>
    </row>
    <row r="167">
      <c r="C167" s="14" t="s">
        <v>28</v>
      </c>
      <c r="D167" s="15">
        <v>0.841333333333333</v>
      </c>
      <c r="E167" s="15">
        <v>0.827520113267064</v>
      </c>
      <c r="F167" s="15">
        <v>0.728909746172362</v>
      </c>
      <c r="G167" s="15">
        <v>0.693094296270844</v>
      </c>
      <c r="H167" s="15">
        <v>0.707723499418031</v>
      </c>
      <c r="I167" s="15">
        <v>0.698631484189185</v>
      </c>
      <c r="J167" s="16">
        <v>8.66666666666666</v>
      </c>
      <c r="K167" s="16">
        <v>7.2</v>
      </c>
      <c r="L167" s="17">
        <v>45.0</v>
      </c>
      <c r="M167" s="17">
        <v>255.0</v>
      </c>
      <c r="N167" s="17">
        <f t="shared" si="23"/>
        <v>300</v>
      </c>
      <c r="O167" s="17">
        <v>194.4</v>
      </c>
      <c r="P167" s="17">
        <v>1005.6</v>
      </c>
      <c r="Q167" s="17">
        <f t="shared" si="24"/>
        <v>1200</v>
      </c>
      <c r="R167" s="15">
        <v>0.0154344492037203</v>
      </c>
      <c r="S167" s="15">
        <v>0.0148298992903613</v>
      </c>
      <c r="T167" s="15">
        <v>0.0103127905103282</v>
      </c>
      <c r="U167" s="15">
        <v>0.0136171259952309</v>
      </c>
      <c r="V167" s="15">
        <v>0.025086378883377</v>
      </c>
      <c r="W167" s="15">
        <v>0.0163644149257614</v>
      </c>
      <c r="X167" s="15">
        <v>1.59164485150844</v>
      </c>
      <c r="Y167" s="15">
        <v>1.20369800568451</v>
      </c>
      <c r="Z167" s="1"/>
      <c r="AA167" s="1"/>
      <c r="AB167" s="13" t="s">
        <v>52</v>
      </c>
      <c r="AC167" s="21">
        <f t="shared" ref="AC167:AE167" si="25">AVERAGE(AC158:AC166)</f>
        <v>0.8194058237</v>
      </c>
      <c r="AD167" s="21">
        <f t="shared" si="25"/>
        <v>0.8655762846</v>
      </c>
      <c r="AE167" s="21">
        <f t="shared" si="25"/>
        <v>0.7737690221</v>
      </c>
      <c r="AF167" s="1"/>
    </row>
    <row r="168">
      <c r="C168" s="14" t="s">
        <v>31</v>
      </c>
      <c r="D168" s="18">
        <f t="shared" ref="D168:K168" si="26">MEDIAN(D165:D167)</f>
        <v>0.8726666667</v>
      </c>
      <c r="E168" s="18">
        <f t="shared" si="26"/>
        <v>0.941530628</v>
      </c>
      <c r="F168" s="18">
        <f t="shared" si="26"/>
        <v>0.930047365</v>
      </c>
      <c r="G168" s="18">
        <f t="shared" si="26"/>
        <v>0.8723393972</v>
      </c>
      <c r="H168" s="18">
        <f t="shared" si="26"/>
        <v>0.8722979528</v>
      </c>
      <c r="I168" s="18">
        <f t="shared" si="26"/>
        <v>0.8711822843</v>
      </c>
      <c r="J168" s="16">
        <f t="shared" si="26"/>
        <v>6.466666667</v>
      </c>
      <c r="K168" s="16">
        <f t="shared" si="26"/>
        <v>6.266666667</v>
      </c>
      <c r="R168" s="19">
        <f t="shared" ref="R168:Y168" si="27">MEDIAN(R165:R167)</f>
        <v>0.01439135543</v>
      </c>
      <c r="S168" s="19">
        <f t="shared" si="27"/>
        <v>0.01372964766</v>
      </c>
      <c r="T168" s="19">
        <f t="shared" si="27"/>
        <v>0.01031279051</v>
      </c>
      <c r="U168" s="19">
        <f t="shared" si="27"/>
        <v>0.013617126</v>
      </c>
      <c r="V168" s="19">
        <f t="shared" si="27"/>
        <v>0.01738927508</v>
      </c>
      <c r="W168" s="19">
        <f t="shared" si="27"/>
        <v>0.01636441493</v>
      </c>
      <c r="X168" s="19">
        <f t="shared" si="27"/>
        <v>1.5860503</v>
      </c>
      <c r="Y168" s="19">
        <f t="shared" si="27"/>
        <v>1.203698006</v>
      </c>
    </row>
    <row r="170">
      <c r="C170" s="2" t="s">
        <v>33</v>
      </c>
      <c r="AB170" s="2" t="s">
        <v>53</v>
      </c>
    </row>
    <row r="171">
      <c r="C171" s="20" t="s">
        <v>1</v>
      </c>
      <c r="D171" s="20" t="s">
        <v>2</v>
      </c>
      <c r="E171" s="20" t="s">
        <v>3</v>
      </c>
      <c r="F171" s="20" t="s">
        <v>4</v>
      </c>
      <c r="G171" s="20" t="s">
        <v>5</v>
      </c>
      <c r="H171" s="20" t="s">
        <v>6</v>
      </c>
      <c r="I171" s="20" t="s">
        <v>7</v>
      </c>
      <c r="J171" s="20" t="s">
        <v>8</v>
      </c>
      <c r="K171" s="20" t="s">
        <v>9</v>
      </c>
      <c r="L171" s="20" t="s">
        <v>10</v>
      </c>
      <c r="M171" s="20" t="s">
        <v>11</v>
      </c>
      <c r="N171" s="20" t="s">
        <v>12</v>
      </c>
      <c r="O171" s="20" t="s">
        <v>13</v>
      </c>
      <c r="P171" s="20" t="s">
        <v>14</v>
      </c>
      <c r="Q171" s="20" t="s">
        <v>15</v>
      </c>
      <c r="R171" s="20" t="s">
        <v>2</v>
      </c>
      <c r="S171" s="20" t="s">
        <v>3</v>
      </c>
      <c r="T171" s="20" t="s">
        <v>4</v>
      </c>
      <c r="U171" s="20" t="s">
        <v>5</v>
      </c>
      <c r="V171" s="20" t="s">
        <v>6</v>
      </c>
      <c r="W171" s="20" t="s">
        <v>7</v>
      </c>
      <c r="X171" s="20" t="s">
        <v>8</v>
      </c>
      <c r="Y171" s="20" t="s">
        <v>9</v>
      </c>
      <c r="Z171" s="1"/>
      <c r="AA171" s="1"/>
      <c r="AB171" s="3" t="s">
        <v>1</v>
      </c>
      <c r="AC171" s="20" t="s">
        <v>2</v>
      </c>
      <c r="AD171" s="20" t="s">
        <v>3</v>
      </c>
      <c r="AE171" s="3" t="s">
        <v>7</v>
      </c>
      <c r="AF171" s="1"/>
    </row>
    <row r="172">
      <c r="C172" s="14" t="s">
        <v>16</v>
      </c>
      <c r="D172" s="15">
        <v>0.759548229548229</v>
      </c>
      <c r="E172" s="18">
        <v>0.856966155706495</v>
      </c>
      <c r="F172" s="15">
        <v>0.819605171106988</v>
      </c>
      <c r="G172" s="15">
        <v>0.743144598823886</v>
      </c>
      <c r="H172" s="15">
        <v>0.717122574211453</v>
      </c>
      <c r="I172" s="15">
        <v>0.721338639793005</v>
      </c>
      <c r="J172" s="16">
        <v>15.6964951383864</v>
      </c>
      <c r="K172" s="16">
        <v>8.34868190679061</v>
      </c>
      <c r="L172" s="17">
        <v>87.0</v>
      </c>
      <c r="M172" s="17">
        <v>47.4</v>
      </c>
      <c r="N172" s="17">
        <f t="shared" ref="N172:N174" si="28">L172+M172</f>
        <v>134.4</v>
      </c>
      <c r="O172" s="17">
        <v>874.8</v>
      </c>
      <c r="P172" s="17">
        <v>325.2</v>
      </c>
      <c r="Q172" s="17">
        <f t="shared" ref="Q172:Q174" si="29">O172+P172</f>
        <v>1200</v>
      </c>
      <c r="R172" s="15">
        <v>0.0351691840269908</v>
      </c>
      <c r="S172" s="15">
        <v>0.0236500825294245</v>
      </c>
      <c r="T172" s="15">
        <v>0.0246992115096946</v>
      </c>
      <c r="U172" s="15">
        <v>0.0204477834047944</v>
      </c>
      <c r="V172" s="15">
        <v>0.0407116323097924</v>
      </c>
      <c r="W172" s="15">
        <v>0.0384241798011371</v>
      </c>
      <c r="X172" s="15">
        <v>4.84610335042985</v>
      </c>
      <c r="Y172" s="15">
        <v>1.39826893142398</v>
      </c>
      <c r="Z172" s="1"/>
      <c r="AA172" s="1"/>
      <c r="AB172" s="14" t="s">
        <v>16</v>
      </c>
      <c r="AC172" s="18">
        <v>0.901333333333333</v>
      </c>
      <c r="AD172" s="18">
        <v>0.937291724319896</v>
      </c>
      <c r="AE172" s="18">
        <v>0.866500058194235</v>
      </c>
      <c r="AF172" s="1"/>
    </row>
    <row r="173">
      <c r="C173" s="14" t="s">
        <v>25</v>
      </c>
      <c r="D173" s="15">
        <v>0.816334015179917</v>
      </c>
      <c r="E173" s="18">
        <v>0.897689892599178</v>
      </c>
      <c r="F173" s="18">
        <v>0.890171089235901</v>
      </c>
      <c r="G173" s="15">
        <v>0.820856390868511</v>
      </c>
      <c r="H173" s="15">
        <v>0.822345078422291</v>
      </c>
      <c r="I173" s="15">
        <v>0.815721111961877</v>
      </c>
      <c r="J173" s="16">
        <v>5.50925312099781</v>
      </c>
      <c r="K173" s="16">
        <v>12.8573453610103</v>
      </c>
      <c r="L173" s="17">
        <v>91.6</v>
      </c>
      <c r="M173" s="17">
        <v>73.4</v>
      </c>
      <c r="N173" s="17">
        <f t="shared" si="28"/>
        <v>165</v>
      </c>
      <c r="O173" s="17">
        <v>537.4</v>
      </c>
      <c r="P173" s="17">
        <v>662.6</v>
      </c>
      <c r="Q173" s="17">
        <f t="shared" si="29"/>
        <v>1200</v>
      </c>
      <c r="R173" s="15">
        <v>0.0205036438310359</v>
      </c>
      <c r="S173" s="15">
        <v>0.0123964560913794</v>
      </c>
      <c r="T173" s="15">
        <v>0.0103707242236317</v>
      </c>
      <c r="U173" s="15">
        <v>0.0196408751076322</v>
      </c>
      <c r="V173" s="15">
        <v>0.0218545629660648</v>
      </c>
      <c r="W173" s="15">
        <v>0.0206427702594444</v>
      </c>
      <c r="X173" s="15">
        <v>2.3830985336811</v>
      </c>
      <c r="Y173" s="15">
        <v>2.25351922235915</v>
      </c>
      <c r="Z173" s="1"/>
      <c r="AA173" s="1"/>
      <c r="AB173" s="14" t="s">
        <v>25</v>
      </c>
      <c r="AC173" s="18">
        <v>0.901333333333333</v>
      </c>
      <c r="AD173" s="22">
        <v>0.950688217469243</v>
      </c>
      <c r="AE173" s="18">
        <v>0.90120838701312</v>
      </c>
      <c r="AF173" s="1"/>
    </row>
    <row r="174">
      <c r="C174" s="14" t="s">
        <v>28</v>
      </c>
      <c r="D174" s="15">
        <v>0.729041904530285</v>
      </c>
      <c r="E174" s="15">
        <v>0.760345117536536</v>
      </c>
      <c r="F174" s="15">
        <v>0.742747864630351</v>
      </c>
      <c r="G174" s="15">
        <v>0.702613114794388</v>
      </c>
      <c r="H174" s="15">
        <v>0.699951292827061</v>
      </c>
      <c r="I174" s="15">
        <v>0.701012619515337</v>
      </c>
      <c r="J174" s="16">
        <v>13.1263492255319</v>
      </c>
      <c r="K174" s="16">
        <v>13.9694603214395</v>
      </c>
      <c r="L174" s="17">
        <v>45.6</v>
      </c>
      <c r="M174" s="17">
        <v>83.6</v>
      </c>
      <c r="N174" s="17">
        <f t="shared" si="28"/>
        <v>129.2</v>
      </c>
      <c r="O174" s="17">
        <v>194.4</v>
      </c>
      <c r="P174" s="17">
        <v>1005.6</v>
      </c>
      <c r="Q174" s="17">
        <f t="shared" si="29"/>
        <v>1200</v>
      </c>
      <c r="R174" s="15">
        <v>0.0159797831241203</v>
      </c>
      <c r="S174" s="15">
        <v>0.0343256821260768</v>
      </c>
      <c r="T174" s="15">
        <v>0.0291783959771279</v>
      </c>
      <c r="U174" s="15">
        <v>0.0103092288163077</v>
      </c>
      <c r="V174" s="15">
        <v>0.0104754374028544</v>
      </c>
      <c r="W174" s="15">
        <v>0.0100232724004856</v>
      </c>
      <c r="X174" s="15">
        <v>1.1829361807623</v>
      </c>
      <c r="Y174" s="15">
        <v>0.988584485438127</v>
      </c>
      <c r="Z174" s="1"/>
      <c r="AA174" s="1"/>
      <c r="AB174" s="14" t="s">
        <v>28</v>
      </c>
      <c r="AC174" s="18">
        <v>0.89215156047305</v>
      </c>
      <c r="AD174" s="18">
        <v>0.943147097840565</v>
      </c>
      <c r="AE174" s="18">
        <v>0.879101558116647</v>
      </c>
      <c r="AF174" s="1"/>
    </row>
    <row r="175">
      <c r="C175" s="14" t="s">
        <v>31</v>
      </c>
      <c r="D175" s="18">
        <f t="shared" ref="D175:K175" si="30">MEDIAN(D172:D174)</f>
        <v>0.7595482295</v>
      </c>
      <c r="E175" s="18">
        <f t="shared" si="30"/>
        <v>0.8569661557</v>
      </c>
      <c r="F175" s="18">
        <f t="shared" si="30"/>
        <v>0.8196051711</v>
      </c>
      <c r="G175" s="18">
        <f t="shared" si="30"/>
        <v>0.7431445988</v>
      </c>
      <c r="H175" s="18">
        <f t="shared" si="30"/>
        <v>0.7171225742</v>
      </c>
      <c r="I175" s="18">
        <f t="shared" si="30"/>
        <v>0.7213386398</v>
      </c>
      <c r="J175" s="16">
        <f t="shared" si="30"/>
        <v>13.12634923</v>
      </c>
      <c r="K175" s="16">
        <f t="shared" si="30"/>
        <v>12.85734536</v>
      </c>
      <c r="R175" s="19">
        <f t="shared" ref="R175:X175" si="31">MEDIAN(R172:R174)</f>
        <v>0.02050364383</v>
      </c>
      <c r="S175" s="19">
        <f t="shared" si="31"/>
        <v>0.02365008253</v>
      </c>
      <c r="T175" s="19">
        <f t="shared" si="31"/>
        <v>0.02469921151</v>
      </c>
      <c r="U175" s="19">
        <f t="shared" si="31"/>
        <v>0.01964087511</v>
      </c>
      <c r="V175" s="19">
        <f t="shared" si="31"/>
        <v>0.02185456297</v>
      </c>
      <c r="W175" s="19">
        <f t="shared" si="31"/>
        <v>0.02064277026</v>
      </c>
      <c r="X175" s="19">
        <f t="shared" si="31"/>
        <v>2.383098534</v>
      </c>
      <c r="AB175" s="14" t="s">
        <v>16</v>
      </c>
      <c r="AC175" s="18">
        <v>0.910666666666666</v>
      </c>
      <c r="AD175" s="18">
        <v>0.941257213407953</v>
      </c>
      <c r="AE175" s="18">
        <v>0.877960563276641</v>
      </c>
    </row>
    <row r="176">
      <c r="AB176" s="14" t="s">
        <v>25</v>
      </c>
      <c r="AC176" s="18">
        <v>0.880666666666666</v>
      </c>
      <c r="AD176" s="18">
        <v>0.940905806203966</v>
      </c>
      <c r="AE176" s="18">
        <v>0.879429057638597</v>
      </c>
    </row>
    <row r="177">
      <c r="C177" s="1" t="s">
        <v>34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4" t="s">
        <v>28</v>
      </c>
      <c r="AC177" s="15">
        <v>0.845333333333333</v>
      </c>
      <c r="AD177" s="15">
        <v>0.789705248352475</v>
      </c>
      <c r="AE177" s="15">
        <v>0.702122459166111</v>
      </c>
      <c r="AF177" s="1"/>
    </row>
    <row r="178">
      <c r="C178" s="20" t="s">
        <v>1</v>
      </c>
      <c r="D178" s="20" t="s">
        <v>2</v>
      </c>
      <c r="E178" s="20" t="s">
        <v>3</v>
      </c>
      <c r="F178" s="20" t="s">
        <v>4</v>
      </c>
      <c r="G178" s="20" t="s">
        <v>5</v>
      </c>
      <c r="H178" s="20" t="s">
        <v>6</v>
      </c>
      <c r="I178" s="20" t="s">
        <v>7</v>
      </c>
      <c r="J178" s="20" t="s">
        <v>8</v>
      </c>
      <c r="K178" s="20" t="s">
        <v>9</v>
      </c>
      <c r="L178" s="20" t="s">
        <v>10</v>
      </c>
      <c r="M178" s="20" t="s">
        <v>11</v>
      </c>
      <c r="N178" s="20" t="s">
        <v>12</v>
      </c>
      <c r="O178" s="20" t="s">
        <v>13</v>
      </c>
      <c r="P178" s="20" t="s">
        <v>14</v>
      </c>
      <c r="Q178" s="20" t="s">
        <v>15</v>
      </c>
      <c r="R178" s="20" t="s">
        <v>2</v>
      </c>
      <c r="S178" s="20" t="s">
        <v>3</v>
      </c>
      <c r="T178" s="20" t="s">
        <v>4</v>
      </c>
      <c r="U178" s="20" t="s">
        <v>5</v>
      </c>
      <c r="V178" s="20" t="s">
        <v>6</v>
      </c>
      <c r="W178" s="20" t="s">
        <v>7</v>
      </c>
      <c r="X178" s="20" t="s">
        <v>8</v>
      </c>
      <c r="Y178" s="20" t="s">
        <v>9</v>
      </c>
      <c r="Z178" s="1"/>
      <c r="AA178" s="1"/>
      <c r="AB178" s="14" t="s">
        <v>16</v>
      </c>
      <c r="AC178" s="15">
        <v>0.831243656917541</v>
      </c>
      <c r="AD178" s="18">
        <v>0.922218720408446</v>
      </c>
      <c r="AE178" s="15">
        <v>0.805993563837478</v>
      </c>
      <c r="AF178" s="1"/>
    </row>
    <row r="179">
      <c r="C179" s="14" t="s">
        <v>16</v>
      </c>
      <c r="D179" s="18">
        <v>0.901333333333333</v>
      </c>
      <c r="E179" s="18">
        <v>0.937291724319896</v>
      </c>
      <c r="F179" s="18">
        <v>0.915686809562543</v>
      </c>
      <c r="G179" s="18">
        <v>0.892455693726692</v>
      </c>
      <c r="H179" s="15">
        <v>0.848862534732211</v>
      </c>
      <c r="I179" s="18">
        <v>0.866500058194235</v>
      </c>
      <c r="J179" s="16">
        <v>7.06666666666666</v>
      </c>
      <c r="K179" s="23">
        <v>2.8</v>
      </c>
      <c r="L179" s="17">
        <v>219.6</v>
      </c>
      <c r="M179" s="17">
        <v>80.4</v>
      </c>
      <c r="N179" s="17">
        <f t="shared" ref="N179:N181" si="32">L179+M179</f>
        <v>300</v>
      </c>
      <c r="O179" s="17">
        <v>690.8</v>
      </c>
      <c r="P179" s="17">
        <v>288.8</v>
      </c>
      <c r="Q179" s="17">
        <f t="shared" ref="Q179:Q181" si="33">P179+O179</f>
        <v>979.6</v>
      </c>
      <c r="R179" s="15">
        <v>0.00339934634239517</v>
      </c>
      <c r="S179" s="15">
        <v>0.00399262489457319</v>
      </c>
      <c r="T179" s="15">
        <v>0.00925477403837902</v>
      </c>
      <c r="U179" s="15">
        <v>0.0189380007078557</v>
      </c>
      <c r="V179" s="15">
        <v>0.0100935309759432</v>
      </c>
      <c r="W179" s="15">
        <v>0.00933745743652162</v>
      </c>
      <c r="X179" s="15">
        <v>0.853749898324379</v>
      </c>
      <c r="Y179" s="15">
        <v>1.06666666666666</v>
      </c>
      <c r="Z179" s="1"/>
      <c r="AA179" s="1"/>
      <c r="AB179" s="14" t="s">
        <v>25</v>
      </c>
      <c r="AC179" s="18">
        <v>0.883414793078427</v>
      </c>
      <c r="AD179" s="18">
        <v>0.944963261482774</v>
      </c>
      <c r="AE179" s="18">
        <v>0.882203394613923</v>
      </c>
      <c r="AF179" s="1"/>
    </row>
    <row r="180">
      <c r="C180" s="14" t="s">
        <v>25</v>
      </c>
      <c r="D180" s="18">
        <v>0.901333333333333</v>
      </c>
      <c r="E180" s="22">
        <v>0.950688217469243</v>
      </c>
      <c r="F180" s="18">
        <v>0.944279188990146</v>
      </c>
      <c r="G180" s="18">
        <v>0.901893713443941</v>
      </c>
      <c r="H180" s="18">
        <v>0.901435563640503</v>
      </c>
      <c r="I180" s="18">
        <v>0.90120838701312</v>
      </c>
      <c r="J180" s="16">
        <v>5.8</v>
      </c>
      <c r="K180" s="16">
        <v>4.06666666666666</v>
      </c>
      <c r="L180" s="17">
        <v>148.8</v>
      </c>
      <c r="M180" s="17">
        <v>151.2</v>
      </c>
      <c r="N180" s="17">
        <f t="shared" si="32"/>
        <v>300</v>
      </c>
      <c r="O180" s="17">
        <v>496.8</v>
      </c>
      <c r="P180" s="17">
        <v>532.8</v>
      </c>
      <c r="Q180" s="17">
        <f t="shared" si="33"/>
        <v>1029.6</v>
      </c>
      <c r="R180" s="15">
        <v>0.0134329611197398</v>
      </c>
      <c r="S180" s="15">
        <v>0.0150484311308959</v>
      </c>
      <c r="T180" s="15">
        <v>0.0198907308248169</v>
      </c>
      <c r="U180" s="15">
        <v>0.013200536215953</v>
      </c>
      <c r="V180" s="15">
        <v>0.0128025292691356</v>
      </c>
      <c r="W180" s="15">
        <v>0.0134240895241797</v>
      </c>
      <c r="X180" s="15">
        <v>1.32664991614215</v>
      </c>
      <c r="Y180" s="15">
        <v>0.442216638714053</v>
      </c>
      <c r="Z180" s="1"/>
      <c r="AA180" s="1"/>
      <c r="AB180" s="14" t="s">
        <v>28</v>
      </c>
      <c r="AC180" s="15">
        <v>0.706410584212106</v>
      </c>
      <c r="AD180" s="15">
        <v>0.758368946896793</v>
      </c>
      <c r="AE180" s="15">
        <v>0.666899018264724</v>
      </c>
      <c r="AF180" s="1"/>
    </row>
    <row r="181">
      <c r="C181" s="14" t="s">
        <v>28</v>
      </c>
      <c r="D181" s="18">
        <v>0.89215156047305</v>
      </c>
      <c r="E181" s="18">
        <v>0.943147097840565</v>
      </c>
      <c r="F181" s="18">
        <v>0.932168038184699</v>
      </c>
      <c r="G181" s="18">
        <v>0.875440358247228</v>
      </c>
      <c r="H181" s="18">
        <v>0.884358875777292</v>
      </c>
      <c r="I181" s="18">
        <v>0.879101558116647</v>
      </c>
      <c r="J181" s="16">
        <v>6.2521062915687</v>
      </c>
      <c r="K181" s="16">
        <v>4.53273766112623</v>
      </c>
      <c r="L181" s="17">
        <v>79.2</v>
      </c>
      <c r="M181" s="17">
        <v>163.6</v>
      </c>
      <c r="N181" s="17">
        <f t="shared" si="32"/>
        <v>242.8</v>
      </c>
      <c r="O181" s="17">
        <v>241.8</v>
      </c>
      <c r="P181" s="17">
        <v>662.4</v>
      </c>
      <c r="Q181" s="17">
        <f t="shared" si="33"/>
        <v>904.2</v>
      </c>
      <c r="R181" s="15">
        <v>0.0193937770673117</v>
      </c>
      <c r="S181" s="15">
        <v>0.0217474076981302</v>
      </c>
      <c r="T181" s="15">
        <v>0.0185614560158193</v>
      </c>
      <c r="U181" s="15">
        <v>0.0183473823362622</v>
      </c>
      <c r="V181" s="15">
        <v>0.0207697173182734</v>
      </c>
      <c r="W181" s="15">
        <v>0.0187334757343668</v>
      </c>
      <c r="X181" s="15">
        <v>1.39941439184904</v>
      </c>
      <c r="Y181" s="15">
        <v>1.36365509838609</v>
      </c>
      <c r="Z181" s="1"/>
      <c r="AA181" s="1"/>
      <c r="AB181" s="13" t="s">
        <v>52</v>
      </c>
      <c r="AC181" s="21">
        <f t="shared" ref="AC181:AE181" si="34">AVERAGE(AC172:AC180)</f>
        <v>0.8613948809</v>
      </c>
      <c r="AD181" s="21">
        <f t="shared" si="34"/>
        <v>0.903171804</v>
      </c>
      <c r="AE181" s="21">
        <f t="shared" si="34"/>
        <v>0.8290464511</v>
      </c>
      <c r="AF181" s="1"/>
    </row>
    <row r="182">
      <c r="C182" s="14" t="s">
        <v>31</v>
      </c>
      <c r="D182" s="18">
        <f t="shared" ref="D182:K182" si="35">MEDIAN(D179:D181)</f>
        <v>0.9013333333</v>
      </c>
      <c r="E182" s="18">
        <f t="shared" si="35"/>
        <v>0.9431470978</v>
      </c>
      <c r="F182" s="18">
        <f t="shared" si="35"/>
        <v>0.9321680382</v>
      </c>
      <c r="G182" s="18">
        <f t="shared" si="35"/>
        <v>0.8924556937</v>
      </c>
      <c r="H182" s="18">
        <f t="shared" si="35"/>
        <v>0.8843588758</v>
      </c>
      <c r="I182" s="18">
        <f t="shared" si="35"/>
        <v>0.8791015581</v>
      </c>
      <c r="J182" s="16">
        <f t="shared" si="35"/>
        <v>6.252106292</v>
      </c>
      <c r="K182" s="16">
        <f t="shared" si="35"/>
        <v>4.066666667</v>
      </c>
      <c r="R182" s="19">
        <f t="shared" ref="R182:Y182" si="36">MEDIAN(R179:R181)</f>
        <v>0.01343296112</v>
      </c>
      <c r="S182" s="19">
        <f t="shared" si="36"/>
        <v>0.01504843113</v>
      </c>
      <c r="T182" s="19">
        <f t="shared" si="36"/>
        <v>0.01856145602</v>
      </c>
      <c r="U182" s="19">
        <f t="shared" si="36"/>
        <v>0.01834738234</v>
      </c>
      <c r="V182" s="19">
        <f t="shared" si="36"/>
        <v>0.01280252927</v>
      </c>
      <c r="W182" s="19">
        <f t="shared" si="36"/>
        <v>0.01342408952</v>
      </c>
      <c r="X182" s="19">
        <f t="shared" si="36"/>
        <v>1.326649916</v>
      </c>
      <c r="Y182" s="19">
        <f t="shared" si="36"/>
        <v>1.066666667</v>
      </c>
    </row>
    <row r="184">
      <c r="C184" s="1" t="s">
        <v>48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C185" s="20" t="s">
        <v>1</v>
      </c>
      <c r="D185" s="20" t="s">
        <v>2</v>
      </c>
      <c r="E185" s="20" t="s">
        <v>3</v>
      </c>
      <c r="F185" s="20" t="s">
        <v>4</v>
      </c>
      <c r="G185" s="20" t="s">
        <v>5</v>
      </c>
      <c r="H185" s="20" t="s">
        <v>6</v>
      </c>
      <c r="I185" s="20" t="s">
        <v>7</v>
      </c>
      <c r="J185" s="20" t="s">
        <v>8</v>
      </c>
      <c r="K185" s="20" t="s">
        <v>9</v>
      </c>
      <c r="L185" s="20" t="s">
        <v>10</v>
      </c>
      <c r="M185" s="20" t="s">
        <v>11</v>
      </c>
      <c r="N185" s="20" t="s">
        <v>12</v>
      </c>
      <c r="O185" s="20" t="s">
        <v>13</v>
      </c>
      <c r="P185" s="20" t="s">
        <v>14</v>
      </c>
      <c r="Q185" s="20" t="s">
        <v>15</v>
      </c>
      <c r="R185" s="20" t="s">
        <v>2</v>
      </c>
      <c r="S185" s="20" t="s">
        <v>3</v>
      </c>
      <c r="T185" s="20" t="s">
        <v>4</v>
      </c>
      <c r="U185" s="20" t="s">
        <v>5</v>
      </c>
      <c r="V185" s="20" t="s">
        <v>6</v>
      </c>
      <c r="W185" s="20" t="s">
        <v>7</v>
      </c>
      <c r="X185" s="20" t="s">
        <v>8</v>
      </c>
      <c r="Y185" s="20" t="s">
        <v>9</v>
      </c>
      <c r="Z185" s="1"/>
      <c r="AA185" s="1"/>
      <c r="AB185" s="1"/>
      <c r="AC185" s="1"/>
      <c r="AD185" s="1"/>
      <c r="AE185" s="1"/>
      <c r="AF185" s="1"/>
    </row>
    <row r="186">
      <c r="C186" s="14" t="s">
        <v>16</v>
      </c>
      <c r="D186" s="18">
        <v>0.910666666666666</v>
      </c>
      <c r="E186" s="18">
        <v>0.941257213407953</v>
      </c>
      <c r="F186" s="18">
        <v>0.929664981305287</v>
      </c>
      <c r="G186" s="18">
        <v>0.916044491109081</v>
      </c>
      <c r="H186" s="18">
        <v>0.853659901735811</v>
      </c>
      <c r="I186" s="18">
        <v>0.877960563276641</v>
      </c>
      <c r="J186" s="16">
        <v>7.33333333333333</v>
      </c>
      <c r="K186" s="23">
        <v>1.6</v>
      </c>
      <c r="L186" s="17">
        <v>218.6</v>
      </c>
      <c r="M186" s="17">
        <v>81.4</v>
      </c>
      <c r="N186" s="17">
        <f t="shared" ref="N186:N188" si="37">L186+M186</f>
        <v>300</v>
      </c>
      <c r="O186" s="17">
        <v>690.8</v>
      </c>
      <c r="P186" s="17">
        <v>288.8</v>
      </c>
      <c r="Q186" s="17">
        <f t="shared" ref="Q186:Q188" si="38">P186+O186</f>
        <v>979.6</v>
      </c>
      <c r="R186" s="15">
        <v>0.0140475383371369</v>
      </c>
      <c r="S186" s="15">
        <v>0.0135608955913597</v>
      </c>
      <c r="T186" s="15">
        <v>0.0162473297523504</v>
      </c>
      <c r="U186" s="15">
        <v>0.0125166035251536</v>
      </c>
      <c r="V186" s="15">
        <v>0.0219496652245301</v>
      </c>
      <c r="W186" s="15">
        <v>0.0185097954655103</v>
      </c>
      <c r="X186" s="15">
        <v>1.33333333333333</v>
      </c>
      <c r="Y186" s="15">
        <v>0.388730126323019</v>
      </c>
      <c r="Z186" s="1"/>
      <c r="AA186" s="1"/>
      <c r="AB186" s="1"/>
      <c r="AC186" s="1"/>
      <c r="AD186" s="1"/>
      <c r="AE186" s="1"/>
      <c r="AF186" s="1"/>
    </row>
    <row r="187">
      <c r="C187" s="14" t="s">
        <v>25</v>
      </c>
      <c r="D187" s="18">
        <v>0.880666666666666</v>
      </c>
      <c r="E187" s="18">
        <v>0.940905806203966</v>
      </c>
      <c r="F187" s="18">
        <v>0.927191013129451</v>
      </c>
      <c r="G187" s="18">
        <v>0.879672069234217</v>
      </c>
      <c r="H187" s="18">
        <v>0.880040752731456</v>
      </c>
      <c r="I187" s="18">
        <v>0.879429057638597</v>
      </c>
      <c r="J187" s="16">
        <v>6.46666666666666</v>
      </c>
      <c r="K187" s="16">
        <v>5.46666666666666</v>
      </c>
      <c r="L187" s="17">
        <v>134.0</v>
      </c>
      <c r="M187" s="17">
        <v>166.0</v>
      </c>
      <c r="N187" s="17">
        <f t="shared" si="37"/>
        <v>300</v>
      </c>
      <c r="O187" s="17">
        <v>496.8</v>
      </c>
      <c r="P187" s="17">
        <v>532.8</v>
      </c>
      <c r="Q187" s="17">
        <f t="shared" si="38"/>
        <v>1029.6</v>
      </c>
      <c r="R187" s="15">
        <v>0.0271129325435503</v>
      </c>
      <c r="S187" s="15">
        <v>0.00897615720174993</v>
      </c>
      <c r="T187" s="15">
        <v>0.00744563410640037</v>
      </c>
      <c r="U187" s="15">
        <v>0.0269965219247948</v>
      </c>
      <c r="V187" s="15">
        <v>0.0264200182589419</v>
      </c>
      <c r="W187" s="15">
        <v>0.0267035842121742</v>
      </c>
      <c r="X187" s="15">
        <v>1.89267594221045</v>
      </c>
      <c r="Y187" s="15">
        <v>1.40791413879619</v>
      </c>
      <c r="Z187" s="1"/>
      <c r="AA187" s="1"/>
      <c r="AB187" s="1"/>
      <c r="AC187" s="1"/>
      <c r="AD187" s="1"/>
      <c r="AE187" s="1"/>
      <c r="AF187" s="1"/>
    </row>
    <row r="188">
      <c r="C188" s="14" t="s">
        <v>28</v>
      </c>
      <c r="D188" s="15">
        <v>0.845333333333333</v>
      </c>
      <c r="E188" s="15">
        <v>0.789705248352475</v>
      </c>
      <c r="F188" s="15">
        <v>0.700778201626608</v>
      </c>
      <c r="G188" s="15">
        <v>0.701383459675453</v>
      </c>
      <c r="H188" s="15">
        <v>0.704504871022376</v>
      </c>
      <c r="I188" s="15">
        <v>0.702122459166111</v>
      </c>
      <c r="J188" s="16">
        <v>8.06666666666666</v>
      </c>
      <c r="K188" s="16">
        <v>7.4</v>
      </c>
      <c r="L188" s="17">
        <v>45.0</v>
      </c>
      <c r="M188" s="17">
        <v>255.0</v>
      </c>
      <c r="N188" s="17">
        <f t="shared" si="37"/>
        <v>300</v>
      </c>
      <c r="O188" s="17">
        <v>241.8</v>
      </c>
      <c r="P188" s="17">
        <v>662.4</v>
      </c>
      <c r="Q188" s="17">
        <f t="shared" si="38"/>
        <v>904.2</v>
      </c>
      <c r="R188" s="15">
        <v>0.0281740621454872</v>
      </c>
      <c r="S188" s="15">
        <v>0.0401354795032159</v>
      </c>
      <c r="T188" s="15">
        <v>0.0503465865305742</v>
      </c>
      <c r="U188" s="15">
        <v>0.0413340374954544</v>
      </c>
      <c r="V188" s="15">
        <v>0.0305145346377517</v>
      </c>
      <c r="W188" s="15">
        <v>0.0359861513237353</v>
      </c>
      <c r="X188" s="15">
        <v>2.19494368442057</v>
      </c>
      <c r="Y188" s="15">
        <v>0.879393730551528</v>
      </c>
      <c r="Z188" s="1"/>
      <c r="AA188" s="1"/>
      <c r="AB188" s="1"/>
      <c r="AC188" s="1"/>
      <c r="AD188" s="1"/>
      <c r="AE188" s="1"/>
      <c r="AF188" s="1"/>
    </row>
    <row r="189">
      <c r="C189" s="14" t="s">
        <v>31</v>
      </c>
      <c r="D189" s="18">
        <f>MEDIAN(D168:D188)</f>
        <v>0.8766666667</v>
      </c>
      <c r="E189" s="18">
        <f t="shared" ref="E189:K189" si="39">MEDIAN(E81:E188)</f>
        <v>0.864410212</v>
      </c>
      <c r="F189" s="18">
        <f t="shared" si="39"/>
        <v>0.8517644368</v>
      </c>
      <c r="G189" s="15">
        <f t="shared" si="39"/>
        <v>0.716719759</v>
      </c>
      <c r="H189" s="15">
        <f t="shared" si="39"/>
        <v>0.6921572324</v>
      </c>
      <c r="I189" s="15">
        <f t="shared" si="39"/>
        <v>0.6952701033</v>
      </c>
      <c r="J189" s="16">
        <f t="shared" si="39"/>
        <v>3.146189649</v>
      </c>
      <c r="K189" s="16">
        <f t="shared" si="39"/>
        <v>4.943575063</v>
      </c>
      <c r="L189" s="1"/>
      <c r="M189" s="1"/>
      <c r="N189" s="1"/>
      <c r="O189" s="1"/>
      <c r="P189" s="1"/>
      <c r="Q189" s="1"/>
      <c r="R189" s="21">
        <f t="shared" ref="R189:Y189" si="40">MEDIAN(R186:R188)</f>
        <v>0.02711293254</v>
      </c>
      <c r="S189" s="21">
        <f t="shared" si="40"/>
        <v>0.01356089559</v>
      </c>
      <c r="T189" s="21">
        <f t="shared" si="40"/>
        <v>0.01624732975</v>
      </c>
      <c r="U189" s="21">
        <f t="shared" si="40"/>
        <v>0.02699652192</v>
      </c>
      <c r="V189" s="21">
        <f t="shared" si="40"/>
        <v>0.02642001826</v>
      </c>
      <c r="W189" s="21">
        <f t="shared" si="40"/>
        <v>0.02670358421</v>
      </c>
      <c r="X189" s="21">
        <f t="shared" si="40"/>
        <v>1.892675942</v>
      </c>
      <c r="Y189" s="21">
        <f t="shared" si="40"/>
        <v>0.8793937306</v>
      </c>
      <c r="Z189" s="1"/>
      <c r="AA189" s="1"/>
      <c r="AB189" s="1"/>
      <c r="AC189" s="1"/>
      <c r="AD189" s="1"/>
      <c r="AE189" s="1"/>
      <c r="AF189" s="1"/>
    </row>
    <row r="191">
      <c r="C191" s="1" t="s">
        <v>49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C192" s="20" t="s">
        <v>1</v>
      </c>
      <c r="D192" s="20" t="s">
        <v>2</v>
      </c>
      <c r="E192" s="20" t="s">
        <v>3</v>
      </c>
      <c r="F192" s="20" t="s">
        <v>4</v>
      </c>
      <c r="G192" s="20" t="s">
        <v>5</v>
      </c>
      <c r="H192" s="20" t="s">
        <v>6</v>
      </c>
      <c r="I192" s="20" t="s">
        <v>7</v>
      </c>
      <c r="J192" s="20" t="s">
        <v>8</v>
      </c>
      <c r="K192" s="20" t="s">
        <v>9</v>
      </c>
      <c r="L192" s="20" t="s">
        <v>10</v>
      </c>
      <c r="M192" s="20" t="s">
        <v>11</v>
      </c>
      <c r="N192" s="20" t="s">
        <v>12</v>
      </c>
      <c r="O192" s="20" t="s">
        <v>13</v>
      </c>
      <c r="P192" s="20" t="s">
        <v>14</v>
      </c>
      <c r="Q192" s="20" t="s">
        <v>15</v>
      </c>
      <c r="R192" s="20" t="s">
        <v>2</v>
      </c>
      <c r="S192" s="20" t="s">
        <v>3</v>
      </c>
      <c r="T192" s="20" t="s">
        <v>4</v>
      </c>
      <c r="U192" s="20" t="s">
        <v>5</v>
      </c>
      <c r="V192" s="20" t="s">
        <v>6</v>
      </c>
      <c r="W192" s="20" t="s">
        <v>7</v>
      </c>
      <c r="X192" s="20" t="s">
        <v>8</v>
      </c>
      <c r="Y192" s="20" t="s">
        <v>9</v>
      </c>
      <c r="Z192" s="1"/>
      <c r="AA192" s="1"/>
      <c r="AB192" s="1"/>
      <c r="AC192" s="1"/>
      <c r="AD192" s="1"/>
      <c r="AE192" s="1"/>
      <c r="AF192" s="1"/>
    </row>
    <row r="193">
      <c r="C193" s="14" t="s">
        <v>16</v>
      </c>
      <c r="D193" s="15">
        <v>0.831243656917541</v>
      </c>
      <c r="E193" s="18">
        <v>0.922218720408446</v>
      </c>
      <c r="F193" s="18">
        <v>0.898212433335652</v>
      </c>
      <c r="G193" s="15">
        <v>0.827899283607793</v>
      </c>
      <c r="H193" s="15">
        <v>0.797880149274678</v>
      </c>
      <c r="I193" s="15">
        <v>0.805993563837478</v>
      </c>
      <c r="J193" s="16">
        <v>11.5212218429187</v>
      </c>
      <c r="K193" s="16">
        <v>5.35441246532718</v>
      </c>
      <c r="L193" s="17">
        <v>87.0</v>
      </c>
      <c r="M193" s="17">
        <v>47.4</v>
      </c>
      <c r="N193" s="17">
        <f t="shared" ref="N193:N195" si="41">L193+M193</f>
        <v>134.4</v>
      </c>
      <c r="O193" s="17">
        <v>690.8</v>
      </c>
      <c r="P193" s="17">
        <v>288.8</v>
      </c>
      <c r="Q193" s="17">
        <f t="shared" ref="Q193:Q195" si="42">P193+O193</f>
        <v>979.6</v>
      </c>
      <c r="R193" s="15">
        <v>0.0330747498446074</v>
      </c>
      <c r="S193" s="15">
        <v>0.0225185236409409</v>
      </c>
      <c r="T193" s="15">
        <v>0.0234525262687167</v>
      </c>
      <c r="U193" s="15">
        <v>0.0235618187638136</v>
      </c>
      <c r="V193" s="15">
        <v>0.0414849004032069</v>
      </c>
      <c r="W193" s="15">
        <v>0.0368416424436138</v>
      </c>
      <c r="X193" s="15">
        <v>3.89819128590005</v>
      </c>
      <c r="Y193" s="15">
        <v>1.28921685314109</v>
      </c>
      <c r="Z193" s="1"/>
      <c r="AA193" s="1"/>
      <c r="AB193" s="1"/>
      <c r="AC193" s="1"/>
      <c r="AD193" s="1"/>
      <c r="AE193" s="1"/>
      <c r="AF193" s="1"/>
    </row>
    <row r="194">
      <c r="C194" s="14" t="s">
        <v>25</v>
      </c>
      <c r="D194" s="18">
        <v>0.883414793078427</v>
      </c>
      <c r="E194" s="18">
        <v>0.944963261482774</v>
      </c>
      <c r="F194" s="18">
        <v>0.940940809029476</v>
      </c>
      <c r="G194" s="18">
        <v>0.884696883008904</v>
      </c>
      <c r="H194" s="18">
        <v>0.883929710144533</v>
      </c>
      <c r="I194" s="18">
        <v>0.882203394613923</v>
      </c>
      <c r="J194" s="16">
        <v>4.75080254499199</v>
      </c>
      <c r="K194" s="16">
        <v>6.90771814716529</v>
      </c>
      <c r="L194" s="17">
        <v>91.6</v>
      </c>
      <c r="M194" s="17">
        <v>73.4</v>
      </c>
      <c r="N194" s="17">
        <f t="shared" si="41"/>
        <v>165</v>
      </c>
      <c r="O194" s="17">
        <v>496.8</v>
      </c>
      <c r="P194" s="17">
        <v>532.8</v>
      </c>
      <c r="Q194" s="17">
        <f t="shared" si="42"/>
        <v>1029.6</v>
      </c>
      <c r="R194" s="15">
        <v>0.0263974008406282</v>
      </c>
      <c r="S194" s="15">
        <v>0.0120166868525861</v>
      </c>
      <c r="T194" s="15">
        <v>0.0129490458327227</v>
      </c>
      <c r="U194" s="15">
        <v>0.0215432721306311</v>
      </c>
      <c r="V194" s="15">
        <v>0.0238775843602238</v>
      </c>
      <c r="W194" s="15">
        <v>0.0260149510694501</v>
      </c>
      <c r="X194" s="15">
        <v>1.51505926204797</v>
      </c>
      <c r="Y194" s="15">
        <v>3.34860992227011</v>
      </c>
      <c r="Z194" s="1"/>
      <c r="AA194" s="1"/>
      <c r="AB194" s="1"/>
      <c r="AC194" s="1"/>
      <c r="AD194" s="1"/>
      <c r="AE194" s="1"/>
      <c r="AF194" s="1"/>
    </row>
    <row r="195">
      <c r="C195" s="14" t="s">
        <v>28</v>
      </c>
      <c r="D195" s="15">
        <v>0.706410584212106</v>
      </c>
      <c r="E195" s="15">
        <v>0.758368946896793</v>
      </c>
      <c r="F195" s="15">
        <v>0.734612224781508</v>
      </c>
      <c r="G195" s="15">
        <v>0.677308019906384</v>
      </c>
      <c r="H195" s="15">
        <v>0.663557527569971</v>
      </c>
      <c r="I195" s="15">
        <v>0.666899018264724</v>
      </c>
      <c r="J195" s="16">
        <v>12.5902604154572</v>
      </c>
      <c r="K195" s="16">
        <v>16.7686811633321</v>
      </c>
      <c r="L195" s="17">
        <v>45.6</v>
      </c>
      <c r="M195" s="17">
        <v>83.6</v>
      </c>
      <c r="N195" s="17">
        <f t="shared" si="41"/>
        <v>129.2</v>
      </c>
      <c r="O195" s="17">
        <v>241.8</v>
      </c>
      <c r="P195" s="17">
        <v>662.4</v>
      </c>
      <c r="Q195" s="17">
        <f t="shared" si="42"/>
        <v>904.2</v>
      </c>
      <c r="R195" s="15">
        <v>0.0255047533043159</v>
      </c>
      <c r="S195" s="15">
        <v>0.0364201627673705</v>
      </c>
      <c r="T195" s="15">
        <v>0.0319107969096358</v>
      </c>
      <c r="U195" s="15">
        <v>0.0236030794284973</v>
      </c>
      <c r="V195" s="15">
        <v>0.0221419882575688</v>
      </c>
      <c r="W195" s="15">
        <v>0.0219503243440207</v>
      </c>
      <c r="X195" s="15">
        <v>2.79843887601212</v>
      </c>
      <c r="Y195" s="15">
        <v>2.15680132909215</v>
      </c>
      <c r="Z195" s="1"/>
      <c r="AA195" s="1"/>
      <c r="AB195" s="1"/>
      <c r="AC195" s="1"/>
      <c r="AD195" s="1"/>
      <c r="AE195" s="1"/>
      <c r="AF195" s="1"/>
    </row>
    <row r="196">
      <c r="C196" s="14" t="s">
        <v>31</v>
      </c>
      <c r="D196" s="18">
        <f t="shared" ref="D196:Y196" si="43">MEDIAN(D193:D195)</f>
        <v>0.8312436569</v>
      </c>
      <c r="E196" s="18">
        <f t="shared" si="43"/>
        <v>0.9222187204</v>
      </c>
      <c r="F196" s="18">
        <f t="shared" si="43"/>
        <v>0.8982124333</v>
      </c>
      <c r="G196" s="18">
        <f t="shared" si="43"/>
        <v>0.8278992836</v>
      </c>
      <c r="H196" s="18">
        <f t="shared" si="43"/>
        <v>0.7978801493</v>
      </c>
      <c r="I196" s="18">
        <f t="shared" si="43"/>
        <v>0.8059935638</v>
      </c>
      <c r="J196" s="16">
        <f t="shared" si="43"/>
        <v>11.52122184</v>
      </c>
      <c r="K196" s="16">
        <f t="shared" si="43"/>
        <v>6.907718147</v>
      </c>
      <c r="L196" s="24">
        <f t="shared" si="43"/>
        <v>87</v>
      </c>
      <c r="M196" s="24">
        <f t="shared" si="43"/>
        <v>73.4</v>
      </c>
      <c r="N196" s="24">
        <f t="shared" si="43"/>
        <v>134.4</v>
      </c>
      <c r="O196" s="24">
        <f t="shared" si="43"/>
        <v>496.8</v>
      </c>
      <c r="P196" s="24">
        <f t="shared" si="43"/>
        <v>532.8</v>
      </c>
      <c r="Q196" s="24">
        <f t="shared" si="43"/>
        <v>979.6</v>
      </c>
      <c r="R196" s="19">
        <f t="shared" si="43"/>
        <v>0.02639740084</v>
      </c>
      <c r="S196" s="19">
        <f t="shared" si="43"/>
        <v>0.02251852364</v>
      </c>
      <c r="T196" s="19">
        <f t="shared" si="43"/>
        <v>0.02345252627</v>
      </c>
      <c r="U196" s="19">
        <f t="shared" si="43"/>
        <v>0.02356181876</v>
      </c>
      <c r="V196" s="19">
        <f t="shared" si="43"/>
        <v>0.02387758436</v>
      </c>
      <c r="W196" s="19">
        <f t="shared" si="43"/>
        <v>0.02601495107</v>
      </c>
      <c r="X196" s="19">
        <f t="shared" si="43"/>
        <v>2.798438876</v>
      </c>
      <c r="Y196" s="19">
        <f t="shared" si="43"/>
        <v>2.156801329</v>
      </c>
    </row>
    <row r="198">
      <c r="C198" s="13" t="s">
        <v>54</v>
      </c>
    </row>
    <row r="199">
      <c r="A199" s="1"/>
      <c r="B199" s="1"/>
      <c r="C199" s="20" t="s">
        <v>1</v>
      </c>
      <c r="D199" s="20" t="s">
        <v>2</v>
      </c>
      <c r="E199" s="20" t="s">
        <v>3</v>
      </c>
      <c r="F199" s="20" t="s">
        <v>4</v>
      </c>
      <c r="G199" s="20" t="s">
        <v>5</v>
      </c>
      <c r="H199" s="20" t="s">
        <v>6</v>
      </c>
      <c r="I199" s="20" t="s">
        <v>7</v>
      </c>
      <c r="J199" s="20" t="s">
        <v>8</v>
      </c>
      <c r="K199" s="20" t="s">
        <v>9</v>
      </c>
      <c r="M199" s="20" t="s">
        <v>55</v>
      </c>
      <c r="N199" s="20" t="s">
        <v>56</v>
      </c>
      <c r="O199" s="20" t="s">
        <v>57</v>
      </c>
      <c r="P199" s="20" t="s">
        <v>58</v>
      </c>
      <c r="R199" s="20" t="s">
        <v>59</v>
      </c>
      <c r="S199" s="20" t="s">
        <v>60</v>
      </c>
      <c r="T199" s="20" t="s">
        <v>56</v>
      </c>
      <c r="U199" s="20" t="s">
        <v>57</v>
      </c>
      <c r="V199" s="20" t="s">
        <v>58</v>
      </c>
      <c r="Z199" s="1"/>
      <c r="AA199" s="1"/>
      <c r="AB199" s="1"/>
      <c r="AC199" s="1"/>
      <c r="AD199" s="1"/>
      <c r="AE199" s="1"/>
      <c r="AF199" s="1"/>
    </row>
    <row r="200">
      <c r="C200" s="14" t="s">
        <v>16</v>
      </c>
      <c r="D200" s="19">
        <f t="shared" ref="D200:K200" si="44">D179-D158</f>
        <v>0.1346666667</v>
      </c>
      <c r="E200" s="19">
        <f t="shared" si="44"/>
        <v>0.1515590551</v>
      </c>
      <c r="F200" s="19">
        <f t="shared" si="44"/>
        <v>0.1689731382</v>
      </c>
      <c r="G200" s="19">
        <f t="shared" si="44"/>
        <v>0.1649230936</v>
      </c>
      <c r="H200" s="19">
        <f t="shared" si="44"/>
        <v>0.2461138563</v>
      </c>
      <c r="I200" s="19">
        <f t="shared" si="44"/>
        <v>0.2571062508</v>
      </c>
      <c r="J200" s="25">
        <f t="shared" si="44"/>
        <v>-13</v>
      </c>
      <c r="K200" s="25">
        <f t="shared" si="44"/>
        <v>-0.4666666667</v>
      </c>
      <c r="M200" s="14" t="s">
        <v>61</v>
      </c>
      <c r="N200" s="18">
        <f>D168</f>
        <v>0.8726666667</v>
      </c>
      <c r="O200" s="18">
        <f>D161</f>
        <v>0.8063949306</v>
      </c>
      <c r="P200" s="18">
        <f>D175</f>
        <v>0.7595482295</v>
      </c>
      <c r="R200" s="14" t="s">
        <v>2</v>
      </c>
      <c r="S200" s="14" t="s">
        <v>61</v>
      </c>
      <c r="T200" s="18">
        <f t="shared" ref="T200:V200" si="45">N200</f>
        <v>0.8726666667</v>
      </c>
      <c r="U200" s="18">
        <f t="shared" si="45"/>
        <v>0.8063949306</v>
      </c>
      <c r="V200" s="18">
        <f t="shared" si="45"/>
        <v>0.7595482295</v>
      </c>
    </row>
    <row r="201">
      <c r="C201" s="14" t="s">
        <v>25</v>
      </c>
      <c r="D201" s="19">
        <f t="shared" ref="D201:K201" si="46">D180-D159</f>
        <v>0.04</v>
      </c>
      <c r="E201" s="19">
        <f t="shared" si="46"/>
        <v>0.04395560051</v>
      </c>
      <c r="F201" s="19">
        <f t="shared" si="46"/>
        <v>0.05165393461</v>
      </c>
      <c r="G201" s="19">
        <f t="shared" si="46"/>
        <v>0.03965620588</v>
      </c>
      <c r="H201" s="19">
        <f t="shared" si="46"/>
        <v>0.04008768845</v>
      </c>
      <c r="I201" s="19">
        <f t="shared" si="46"/>
        <v>0.04012881333</v>
      </c>
      <c r="J201" s="25">
        <f t="shared" si="46"/>
        <v>-2.533333333</v>
      </c>
      <c r="K201" s="25">
        <f t="shared" si="46"/>
        <v>-1.466666667</v>
      </c>
      <c r="M201" s="14" t="s">
        <v>62</v>
      </c>
      <c r="N201" s="18">
        <f>D189</f>
        <v>0.8766666667</v>
      </c>
      <c r="O201" s="18">
        <f>D182</f>
        <v>0.9013333333</v>
      </c>
      <c r="P201" s="18">
        <f>D196</f>
        <v>0.8312436569</v>
      </c>
      <c r="R201" s="14" t="s">
        <v>2</v>
      </c>
      <c r="S201" s="14" t="s">
        <v>62</v>
      </c>
      <c r="T201" s="18">
        <f t="shared" ref="T201:V201" si="47">N201</f>
        <v>0.8766666667</v>
      </c>
      <c r="U201" s="18">
        <f t="shared" si="47"/>
        <v>0.9013333333</v>
      </c>
      <c r="V201" s="18">
        <f t="shared" si="47"/>
        <v>0.8312436569</v>
      </c>
    </row>
    <row r="202">
      <c r="C202" s="14" t="s">
        <v>29</v>
      </c>
      <c r="D202" s="19">
        <f t="shared" ref="D202:K202" si="48">D181-D160</f>
        <v>0.08575662983</v>
      </c>
      <c r="E202" s="19">
        <f t="shared" si="48"/>
        <v>0.0787368858</v>
      </c>
      <c r="F202" s="19">
        <f t="shared" si="48"/>
        <v>0.1053859644</v>
      </c>
      <c r="G202" s="19">
        <f t="shared" si="48"/>
        <v>0.09375183607</v>
      </c>
      <c r="H202" s="19">
        <f t="shared" si="48"/>
        <v>0.08865927633</v>
      </c>
      <c r="I202" s="19">
        <f t="shared" si="48"/>
        <v>0.09373667327</v>
      </c>
      <c r="J202" s="25">
        <f t="shared" si="48"/>
        <v>-5.303000399</v>
      </c>
      <c r="K202" s="25">
        <f t="shared" si="48"/>
        <v>-3.272662584</v>
      </c>
      <c r="R202" s="14" t="s">
        <v>63</v>
      </c>
      <c r="S202" s="14" t="s">
        <v>61</v>
      </c>
      <c r="T202" s="18">
        <f t="shared" ref="T202:V202" si="49">N206</f>
        <v>0.941530628</v>
      </c>
      <c r="U202" s="18">
        <f t="shared" si="49"/>
        <v>0.864410212</v>
      </c>
      <c r="V202" s="18">
        <f t="shared" si="49"/>
        <v>0.8569661557</v>
      </c>
    </row>
    <row r="203">
      <c r="C203" s="14" t="s">
        <v>31</v>
      </c>
      <c r="D203" s="19">
        <f t="shared" ref="D203:K203" si="50">D182-D161</f>
        <v>0.09493840269</v>
      </c>
      <c r="E203" s="19">
        <f t="shared" si="50"/>
        <v>0.0787368858</v>
      </c>
      <c r="F203" s="19">
        <f t="shared" si="50"/>
        <v>0.1053859644</v>
      </c>
      <c r="G203" s="19">
        <f t="shared" si="50"/>
        <v>0.1107671715</v>
      </c>
      <c r="H203" s="19">
        <f t="shared" si="50"/>
        <v>0.08865927633</v>
      </c>
      <c r="I203" s="19">
        <f t="shared" si="50"/>
        <v>0.09373667327</v>
      </c>
      <c r="J203" s="25">
        <f t="shared" si="50"/>
        <v>-5.303000399</v>
      </c>
      <c r="K203" s="25">
        <f t="shared" si="50"/>
        <v>-1.466666667</v>
      </c>
      <c r="R203" s="14" t="s">
        <v>63</v>
      </c>
      <c r="S203" s="14" t="s">
        <v>62</v>
      </c>
      <c r="T203" s="18">
        <f t="shared" ref="T203:V203" si="51">N207</f>
        <v>0.864410212</v>
      </c>
      <c r="U203" s="18">
        <f t="shared" si="51"/>
        <v>0.9431470978</v>
      </c>
      <c r="V203" s="18">
        <f t="shared" si="51"/>
        <v>0.9222187204</v>
      </c>
    </row>
    <row r="204">
      <c r="R204" s="14" t="s">
        <v>64</v>
      </c>
      <c r="S204" s="14" t="s">
        <v>61</v>
      </c>
      <c r="T204" s="18">
        <f t="shared" ref="T204:V204" si="52">N212</f>
        <v>0.8711822843</v>
      </c>
      <c r="U204" s="18">
        <f t="shared" si="52"/>
        <v>0.7853648848</v>
      </c>
      <c r="V204" s="18">
        <f t="shared" si="52"/>
        <v>0.7213386398</v>
      </c>
    </row>
    <row r="205">
      <c r="C205" s="2" t="s">
        <v>65</v>
      </c>
      <c r="M205" s="26" t="s">
        <v>66</v>
      </c>
      <c r="N205" s="20" t="s">
        <v>56</v>
      </c>
      <c r="O205" s="20" t="s">
        <v>57</v>
      </c>
      <c r="P205" s="20" t="s">
        <v>58</v>
      </c>
      <c r="R205" s="14" t="s">
        <v>64</v>
      </c>
      <c r="S205" s="14" t="s">
        <v>62</v>
      </c>
      <c r="T205" s="18">
        <f t="shared" ref="T205:V205" si="53">N213</f>
        <v>0.6952701033</v>
      </c>
      <c r="U205" s="18">
        <f t="shared" si="53"/>
        <v>0.8791015581</v>
      </c>
      <c r="V205" s="18">
        <f t="shared" si="53"/>
        <v>0.8059935638</v>
      </c>
    </row>
    <row r="206">
      <c r="A206" s="1"/>
      <c r="B206" s="1"/>
      <c r="C206" s="20" t="s">
        <v>1</v>
      </c>
      <c r="D206" s="20" t="s">
        <v>2</v>
      </c>
      <c r="E206" s="20" t="s">
        <v>3</v>
      </c>
      <c r="F206" s="20" t="s">
        <v>4</v>
      </c>
      <c r="G206" s="20" t="s">
        <v>5</v>
      </c>
      <c r="H206" s="20" t="s">
        <v>6</v>
      </c>
      <c r="I206" s="20" t="s">
        <v>7</v>
      </c>
      <c r="J206" s="20" t="s">
        <v>8</v>
      </c>
      <c r="K206" s="20" t="s">
        <v>9</v>
      </c>
      <c r="M206" s="14" t="s">
        <v>61</v>
      </c>
      <c r="N206" s="18">
        <f>E168</f>
        <v>0.941530628</v>
      </c>
      <c r="O206" s="18">
        <f>E161</f>
        <v>0.864410212</v>
      </c>
      <c r="P206" s="18">
        <f>E175</f>
        <v>0.8569661557</v>
      </c>
      <c r="Z206" s="1"/>
      <c r="AA206" s="1"/>
      <c r="AB206" s="1"/>
      <c r="AC206" s="1"/>
      <c r="AD206" s="1"/>
      <c r="AE206" s="1"/>
      <c r="AF206" s="1"/>
    </row>
    <row r="207">
      <c r="C207" s="14" t="s">
        <v>16</v>
      </c>
      <c r="D207" s="19">
        <f t="shared" ref="D207:K207" si="54">D186-D165</f>
        <v>-0.01066666667</v>
      </c>
      <c r="E207" s="19">
        <f t="shared" si="54"/>
        <v>-0.0002734146323</v>
      </c>
      <c r="F207" s="19">
        <f t="shared" si="54"/>
        <v>-0.0003823837237</v>
      </c>
      <c r="G207" s="19">
        <f t="shared" si="54"/>
        <v>0.016990157</v>
      </c>
      <c r="H207" s="19">
        <f t="shared" si="54"/>
        <v>-0.04792129242</v>
      </c>
      <c r="I207" s="19">
        <f t="shared" si="54"/>
        <v>-0.0222362303</v>
      </c>
      <c r="J207" s="25">
        <f t="shared" si="54"/>
        <v>3.533333333</v>
      </c>
      <c r="K207" s="25">
        <f t="shared" si="54"/>
        <v>-2.466666667</v>
      </c>
      <c r="M207" s="14" t="s">
        <v>62</v>
      </c>
      <c r="N207" s="18">
        <f>E189</f>
        <v>0.864410212</v>
      </c>
      <c r="O207" s="18">
        <f>E182</f>
        <v>0.9431470978</v>
      </c>
      <c r="P207" s="18">
        <f>E196</f>
        <v>0.9222187204</v>
      </c>
      <c r="R207" s="2" t="s">
        <v>67</v>
      </c>
    </row>
    <row r="208">
      <c r="C208" s="14" t="s">
        <v>25</v>
      </c>
      <c r="D208" s="19">
        <f t="shared" ref="D208:K208" si="55">D187-D166</f>
        <v>0.008</v>
      </c>
      <c r="E208" s="19">
        <f t="shared" si="55"/>
        <v>-0.00835335003</v>
      </c>
      <c r="F208" s="19">
        <f t="shared" si="55"/>
        <v>-0.02012142385</v>
      </c>
      <c r="G208" s="19">
        <f t="shared" si="55"/>
        <v>0.007332672053</v>
      </c>
      <c r="H208" s="19">
        <f t="shared" si="55"/>
        <v>0.007742799935</v>
      </c>
      <c r="I208" s="19">
        <f t="shared" si="55"/>
        <v>0.008246773325</v>
      </c>
      <c r="J208" s="25">
        <f t="shared" si="55"/>
        <v>0</v>
      </c>
      <c r="K208" s="25">
        <f t="shared" si="55"/>
        <v>-0.8</v>
      </c>
      <c r="R208" s="20" t="s">
        <v>59</v>
      </c>
      <c r="S208" s="20" t="s">
        <v>60</v>
      </c>
      <c r="T208" s="20" t="s">
        <v>56</v>
      </c>
      <c r="U208" s="20" t="s">
        <v>57</v>
      </c>
      <c r="V208" s="20" t="s">
        <v>58</v>
      </c>
    </row>
    <row r="209">
      <c r="C209" s="14" t="s">
        <v>29</v>
      </c>
      <c r="D209" s="19">
        <f t="shared" ref="D209:K209" si="56">D188-D167</f>
        <v>0.004</v>
      </c>
      <c r="E209" s="19">
        <f t="shared" si="56"/>
        <v>-0.03781486491</v>
      </c>
      <c r="F209" s="19">
        <f t="shared" si="56"/>
        <v>-0.02813154455</v>
      </c>
      <c r="G209" s="19">
        <f t="shared" si="56"/>
        <v>0.008289163405</v>
      </c>
      <c r="H209" s="19">
        <f t="shared" si="56"/>
        <v>-0.003218628396</v>
      </c>
      <c r="I209" s="19">
        <f t="shared" si="56"/>
        <v>0.003490974977</v>
      </c>
      <c r="J209" s="25">
        <f t="shared" si="56"/>
        <v>-0.6</v>
      </c>
      <c r="K209" s="25">
        <f t="shared" si="56"/>
        <v>0.2</v>
      </c>
      <c r="R209" s="14" t="s">
        <v>2</v>
      </c>
      <c r="S209" s="14" t="s">
        <v>61</v>
      </c>
      <c r="T209" s="15">
        <f>R168</f>
        <v>0.01439135543</v>
      </c>
      <c r="U209" s="15">
        <f>R161</f>
        <v>0.01820866704</v>
      </c>
      <c r="V209" s="15">
        <f>R175</f>
        <v>0.02050364383</v>
      </c>
    </row>
    <row r="210">
      <c r="C210" s="14" t="s">
        <v>31</v>
      </c>
      <c r="D210" s="19">
        <f t="shared" ref="D210:K210" si="57">D189-D168</f>
        <v>0.004</v>
      </c>
      <c r="E210" s="19">
        <f t="shared" si="57"/>
        <v>-0.077120416</v>
      </c>
      <c r="F210" s="19">
        <f t="shared" si="57"/>
        <v>-0.07828292819</v>
      </c>
      <c r="G210" s="19">
        <f t="shared" si="57"/>
        <v>-0.1556196382</v>
      </c>
      <c r="H210" s="19">
        <f t="shared" si="57"/>
        <v>-0.1801407204</v>
      </c>
      <c r="I210" s="19">
        <f t="shared" si="57"/>
        <v>-0.175912181</v>
      </c>
      <c r="J210" s="25">
        <f t="shared" si="57"/>
        <v>-3.320477018</v>
      </c>
      <c r="K210" s="25">
        <f t="shared" si="57"/>
        <v>-1.323091603</v>
      </c>
      <c r="R210" s="14" t="s">
        <v>2</v>
      </c>
      <c r="S210" s="14" t="s">
        <v>62</v>
      </c>
      <c r="T210" s="15">
        <f>R189</f>
        <v>0.02711293254</v>
      </c>
      <c r="U210" s="15">
        <f>R182</f>
        <v>0.01343296112</v>
      </c>
      <c r="V210" s="15">
        <f>R196</f>
        <v>0.02639740084</v>
      </c>
    </row>
    <row r="211">
      <c r="M211" s="26" t="s">
        <v>68</v>
      </c>
      <c r="N211" s="20" t="s">
        <v>56</v>
      </c>
      <c r="O211" s="20" t="s">
        <v>57</v>
      </c>
      <c r="P211" s="20" t="s">
        <v>58</v>
      </c>
      <c r="R211" s="14" t="s">
        <v>63</v>
      </c>
      <c r="S211" s="14" t="s">
        <v>61</v>
      </c>
      <c r="T211" s="15">
        <f>S168</f>
        <v>0.01372964766</v>
      </c>
      <c r="U211" s="15">
        <f>T161</f>
        <v>0.02642927995</v>
      </c>
      <c r="V211" s="15">
        <f>S175</f>
        <v>0.02365008253</v>
      </c>
    </row>
    <row r="212">
      <c r="C212" s="2" t="s">
        <v>69</v>
      </c>
      <c r="M212" s="14" t="s">
        <v>61</v>
      </c>
      <c r="N212" s="18">
        <f>I168</f>
        <v>0.8711822843</v>
      </c>
      <c r="O212" s="18">
        <f>I161</f>
        <v>0.7853648848</v>
      </c>
      <c r="P212" s="18">
        <f>I175</f>
        <v>0.7213386398</v>
      </c>
      <c r="R212" s="14" t="s">
        <v>63</v>
      </c>
      <c r="S212" s="14" t="s">
        <v>62</v>
      </c>
      <c r="T212" s="15">
        <f>T189</f>
        <v>0.01624732975</v>
      </c>
      <c r="U212" s="15">
        <f>T182</f>
        <v>0.01856145602</v>
      </c>
      <c r="V212" s="15">
        <f>S196</f>
        <v>0.02251852364</v>
      </c>
    </row>
    <row r="213">
      <c r="C213" s="20" t="s">
        <v>1</v>
      </c>
      <c r="D213" s="20" t="s">
        <v>2</v>
      </c>
      <c r="E213" s="20" t="s">
        <v>3</v>
      </c>
      <c r="F213" s="20" t="s">
        <v>4</v>
      </c>
      <c r="G213" s="20" t="s">
        <v>5</v>
      </c>
      <c r="H213" s="20" t="s">
        <v>6</v>
      </c>
      <c r="I213" s="20" t="s">
        <v>7</v>
      </c>
      <c r="J213" s="20" t="s">
        <v>8</v>
      </c>
      <c r="K213" s="20" t="s">
        <v>9</v>
      </c>
      <c r="M213" s="14" t="s">
        <v>62</v>
      </c>
      <c r="N213" s="18">
        <f>I189</f>
        <v>0.6952701033</v>
      </c>
      <c r="O213" s="18">
        <f>I182</f>
        <v>0.8791015581</v>
      </c>
      <c r="P213" s="18">
        <f>I196</f>
        <v>0.8059935638</v>
      </c>
      <c r="R213" s="14" t="s">
        <v>64</v>
      </c>
      <c r="S213" s="14" t="s">
        <v>61</v>
      </c>
      <c r="T213" s="15">
        <f>W168</f>
        <v>0.01636441493</v>
      </c>
      <c r="U213" s="15">
        <f>W161</f>
        <v>0.02693913192</v>
      </c>
      <c r="V213" s="15">
        <f>W175</f>
        <v>0.02064277026</v>
      </c>
    </row>
    <row r="214">
      <c r="C214" s="14" t="s">
        <v>16</v>
      </c>
      <c r="D214" s="19">
        <f t="shared" ref="D214:K214" si="58">D193-D172</f>
        <v>0.07169542737</v>
      </c>
      <c r="E214" s="19">
        <f t="shared" si="58"/>
        <v>0.0652525647</v>
      </c>
      <c r="F214" s="19">
        <f t="shared" si="58"/>
        <v>0.07860726223</v>
      </c>
      <c r="G214" s="19">
        <f t="shared" si="58"/>
        <v>0.08475468478</v>
      </c>
      <c r="H214" s="19">
        <f t="shared" si="58"/>
        <v>0.08075757506</v>
      </c>
      <c r="I214" s="19">
        <f t="shared" si="58"/>
        <v>0.08465492404</v>
      </c>
      <c r="J214" s="25">
        <f t="shared" si="58"/>
        <v>-4.175273295</v>
      </c>
      <c r="K214" s="25">
        <f t="shared" si="58"/>
        <v>-2.994269441</v>
      </c>
      <c r="R214" s="14" t="s">
        <v>64</v>
      </c>
      <c r="S214" s="14" t="s">
        <v>62</v>
      </c>
      <c r="T214" s="15">
        <f>W189</f>
        <v>0.02670358421</v>
      </c>
      <c r="U214" s="15">
        <f>W182</f>
        <v>0.01342408952</v>
      </c>
      <c r="V214" s="15">
        <f>W196</f>
        <v>0.02601495107</v>
      </c>
    </row>
    <row r="215">
      <c r="C215" s="14" t="s">
        <v>25</v>
      </c>
      <c r="D215" s="19">
        <f t="shared" ref="D215:K215" si="59">D194-D173</f>
        <v>0.0670807779</v>
      </c>
      <c r="E215" s="19">
        <f t="shared" si="59"/>
        <v>0.04727336888</v>
      </c>
      <c r="F215" s="19">
        <f t="shared" si="59"/>
        <v>0.05076971979</v>
      </c>
      <c r="G215" s="19">
        <f t="shared" si="59"/>
        <v>0.06384049214</v>
      </c>
      <c r="H215" s="19">
        <f t="shared" si="59"/>
        <v>0.06158463172</v>
      </c>
      <c r="I215" s="19">
        <f t="shared" si="59"/>
        <v>0.06648228265</v>
      </c>
      <c r="J215" s="25">
        <f t="shared" si="59"/>
        <v>-0.758450576</v>
      </c>
      <c r="K215" s="25">
        <f t="shared" si="59"/>
        <v>-5.949627214</v>
      </c>
    </row>
    <row r="216">
      <c r="C216" s="14" t="s">
        <v>29</v>
      </c>
      <c r="D216" s="19">
        <f t="shared" ref="D216:K216" si="60">D195-D174</f>
        <v>-0.02263132032</v>
      </c>
      <c r="E216" s="19">
        <f t="shared" si="60"/>
        <v>-0.00197617064</v>
      </c>
      <c r="F216" s="19">
        <f t="shared" si="60"/>
        <v>-0.008135639849</v>
      </c>
      <c r="G216" s="19">
        <f t="shared" si="60"/>
        <v>-0.02530509489</v>
      </c>
      <c r="H216" s="19">
        <f t="shared" si="60"/>
        <v>-0.03639376526</v>
      </c>
      <c r="I216" s="19">
        <f t="shared" si="60"/>
        <v>-0.03411360125</v>
      </c>
      <c r="J216" s="25">
        <f t="shared" si="60"/>
        <v>-0.5360888101</v>
      </c>
      <c r="K216" s="25">
        <f t="shared" si="60"/>
        <v>2.799220842</v>
      </c>
      <c r="M216" s="26" t="s">
        <v>70</v>
      </c>
      <c r="N216" s="20" t="s">
        <v>2</v>
      </c>
      <c r="O216" s="26" t="s">
        <v>63</v>
      </c>
      <c r="P216" s="20" t="s">
        <v>7</v>
      </c>
    </row>
    <row r="217">
      <c r="C217" s="14" t="s">
        <v>31</v>
      </c>
      <c r="D217" s="19">
        <f t="shared" ref="D217:K217" si="61">D196-D175</f>
        <v>0.07169542737</v>
      </c>
      <c r="E217" s="19">
        <f t="shared" si="61"/>
        <v>0.0652525647</v>
      </c>
      <c r="F217" s="19">
        <f t="shared" si="61"/>
        <v>0.07860726223</v>
      </c>
      <c r="G217" s="19">
        <f t="shared" si="61"/>
        <v>0.08475468478</v>
      </c>
      <c r="H217" s="19">
        <f t="shared" si="61"/>
        <v>0.08075757506</v>
      </c>
      <c r="I217" s="19">
        <f t="shared" si="61"/>
        <v>0.08465492404</v>
      </c>
      <c r="J217" s="25">
        <f t="shared" si="61"/>
        <v>-1.605127383</v>
      </c>
      <c r="K217" s="25">
        <f t="shared" si="61"/>
        <v>-5.949627214</v>
      </c>
      <c r="M217" s="14" t="s">
        <v>71</v>
      </c>
      <c r="N217" s="18">
        <f t="shared" ref="N217:O217" si="62">D220</f>
        <v>0.8163340152</v>
      </c>
      <c r="O217" s="18">
        <f t="shared" si="62"/>
        <v>0.864410212</v>
      </c>
      <c r="P217" s="18">
        <f t="shared" ref="P217:P218" si="64">I220</f>
        <v>0.7853648848</v>
      </c>
    </row>
    <row r="218">
      <c r="M218" s="14" t="s">
        <v>72</v>
      </c>
      <c r="N218" s="18">
        <f t="shared" ref="N218:O218" si="63">D221</f>
        <v>0.8834147931</v>
      </c>
      <c r="O218" s="18">
        <f t="shared" si="63"/>
        <v>0.9409058062</v>
      </c>
      <c r="P218" s="18">
        <f t="shared" si="64"/>
        <v>0.8779605633</v>
      </c>
    </row>
    <row r="219">
      <c r="C219" s="26" t="s">
        <v>1</v>
      </c>
      <c r="D219" s="20" t="s">
        <v>2</v>
      </c>
      <c r="E219" s="20" t="s">
        <v>3</v>
      </c>
      <c r="F219" s="20" t="s">
        <v>4</v>
      </c>
      <c r="G219" s="20" t="s">
        <v>5</v>
      </c>
      <c r="H219" s="20" t="s">
        <v>6</v>
      </c>
      <c r="I219" s="26" t="s">
        <v>73</v>
      </c>
      <c r="J219" s="20" t="s">
        <v>8</v>
      </c>
      <c r="K219" s="20" t="s">
        <v>9</v>
      </c>
    </row>
    <row r="220">
      <c r="C220" s="14" t="s">
        <v>71</v>
      </c>
      <c r="D220" s="18">
        <f t="shared" ref="D220:K220" si="65">MEDIAN(D158:D160,D165:D167,D172:D174)</f>
        <v>0.8163340152</v>
      </c>
      <c r="E220" s="18">
        <f t="shared" si="65"/>
        <v>0.864410212</v>
      </c>
      <c r="F220" s="18">
        <f t="shared" si="65"/>
        <v>0.8267820738</v>
      </c>
      <c r="G220" s="18">
        <f t="shared" si="65"/>
        <v>0.7816885222</v>
      </c>
      <c r="H220" s="18">
        <f t="shared" si="65"/>
        <v>0.7956995994</v>
      </c>
      <c r="I220" s="18">
        <f t="shared" si="65"/>
        <v>0.7853648848</v>
      </c>
      <c r="J220" s="16">
        <f t="shared" si="65"/>
        <v>8.666666667</v>
      </c>
      <c r="K220" s="16">
        <f t="shared" si="65"/>
        <v>7.2</v>
      </c>
    </row>
    <row r="221">
      <c r="C221" s="14" t="s">
        <v>72</v>
      </c>
      <c r="D221" s="18">
        <f t="shared" ref="D221:K221" si="66">MEDIAN(D179:D181,D186:D188,D193:D195)</f>
        <v>0.8834147931</v>
      </c>
      <c r="E221" s="18">
        <f t="shared" si="66"/>
        <v>0.9409058062</v>
      </c>
      <c r="F221" s="18">
        <f t="shared" si="66"/>
        <v>0.9271910131</v>
      </c>
      <c r="G221" s="18">
        <f t="shared" si="66"/>
        <v>0.8796720692</v>
      </c>
      <c r="H221" s="18">
        <f t="shared" si="66"/>
        <v>0.8536599017</v>
      </c>
      <c r="I221" s="18">
        <f t="shared" si="66"/>
        <v>0.8779605633</v>
      </c>
      <c r="J221" s="16">
        <f t="shared" si="66"/>
        <v>7.066666667</v>
      </c>
      <c r="K221" s="16">
        <f t="shared" si="66"/>
        <v>5.354412465</v>
      </c>
    </row>
    <row r="222">
      <c r="M222" s="27"/>
      <c r="N222" s="28" t="s">
        <v>61</v>
      </c>
      <c r="O222" s="28" t="s">
        <v>62</v>
      </c>
    </row>
    <row r="223">
      <c r="C223" s="2" t="s">
        <v>67</v>
      </c>
      <c r="M223" s="27" t="s">
        <v>74</v>
      </c>
      <c r="N223" s="17">
        <v>1200.0</v>
      </c>
      <c r="O223" s="17">
        <v>980.0</v>
      </c>
    </row>
    <row r="224">
      <c r="C224" s="26" t="s">
        <v>1</v>
      </c>
      <c r="D224" s="20" t="s">
        <v>2</v>
      </c>
      <c r="E224" s="20" t="s">
        <v>3</v>
      </c>
      <c r="F224" s="26" t="s">
        <v>73</v>
      </c>
      <c r="M224" s="27" t="s">
        <v>75</v>
      </c>
      <c r="N224" s="17">
        <v>1200.0</v>
      </c>
      <c r="O224" s="17">
        <v>1030.0</v>
      </c>
    </row>
    <row r="225">
      <c r="C225" s="14" t="s">
        <v>71</v>
      </c>
      <c r="D225" s="19">
        <f t="shared" ref="D225:E225" si="67">MEDIAN(R158:R160,R165:R167,R172:R174)</f>
        <v>0.01597978312</v>
      </c>
      <c r="E225" s="19">
        <f t="shared" si="67"/>
        <v>0.01372964766</v>
      </c>
      <c r="F225" s="19">
        <f>MEDIAN(W158:W160,W165:W167,W172:W174)</f>
        <v>0.01959702597</v>
      </c>
      <c r="M225" s="27" t="s">
        <v>76</v>
      </c>
      <c r="N225" s="17">
        <v>1200.0</v>
      </c>
      <c r="O225" s="17">
        <v>904.0</v>
      </c>
    </row>
    <row r="226">
      <c r="C226" s="14" t="s">
        <v>72</v>
      </c>
      <c r="D226" s="19">
        <f t="shared" ref="D226:E226" si="68">MEDIAN(R179:R181,R186:R188,R193:R195)</f>
        <v>0.0255047533</v>
      </c>
      <c r="E226" s="19">
        <f t="shared" si="68"/>
        <v>0.01504843113</v>
      </c>
      <c r="F226" s="19">
        <f>MEDIAN(W179:W181,W186:W188,W193:W195)</f>
        <v>0.02195032434</v>
      </c>
      <c r="M226" s="2" t="s">
        <v>31</v>
      </c>
      <c r="N226" s="24">
        <f t="shared" ref="N226:O226" si="69">MEDIAN(N223:N225)</f>
        <v>1200</v>
      </c>
      <c r="O226" s="24">
        <f t="shared" si="69"/>
        <v>980</v>
      </c>
    </row>
    <row r="230">
      <c r="A230" s="10"/>
      <c r="B230" s="10"/>
      <c r="C230" s="11" t="s">
        <v>77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2">
      <c r="A232" s="1"/>
      <c r="B232" s="1"/>
      <c r="C232" s="1" t="s">
        <v>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3" t="s">
        <v>51</v>
      </c>
      <c r="AB232" s="1"/>
      <c r="AC232" s="1"/>
      <c r="AD232" s="1"/>
      <c r="AE232" s="1"/>
      <c r="AF232" s="1"/>
    </row>
    <row r="233">
      <c r="A233" s="1"/>
      <c r="B233" s="1"/>
      <c r="C233" s="20" t="s">
        <v>1</v>
      </c>
      <c r="D233" s="20" t="s">
        <v>2</v>
      </c>
      <c r="E233" s="20" t="s">
        <v>3</v>
      </c>
      <c r="F233" s="20" t="s">
        <v>4</v>
      </c>
      <c r="G233" s="20" t="s">
        <v>5</v>
      </c>
      <c r="H233" s="20" t="s">
        <v>6</v>
      </c>
      <c r="I233" s="20" t="s">
        <v>7</v>
      </c>
      <c r="J233" s="20" t="s">
        <v>8</v>
      </c>
      <c r="K233" s="20" t="s">
        <v>9</v>
      </c>
      <c r="L233" s="20" t="s">
        <v>10</v>
      </c>
      <c r="M233" s="20" t="s">
        <v>11</v>
      </c>
      <c r="N233" s="20" t="s">
        <v>12</v>
      </c>
      <c r="O233" s="20" t="s">
        <v>13</v>
      </c>
      <c r="P233" s="20" t="s">
        <v>14</v>
      </c>
      <c r="Q233" s="20" t="s">
        <v>15</v>
      </c>
      <c r="R233" s="20" t="s">
        <v>2</v>
      </c>
      <c r="S233" s="20" t="s">
        <v>3</v>
      </c>
      <c r="T233" s="20" t="s">
        <v>4</v>
      </c>
      <c r="U233" s="20" t="s">
        <v>5</v>
      </c>
      <c r="V233" s="20" t="s">
        <v>6</v>
      </c>
      <c r="W233" s="20" t="s">
        <v>7</v>
      </c>
      <c r="X233" s="20" t="s">
        <v>8</v>
      </c>
      <c r="Y233" s="20" t="s">
        <v>9</v>
      </c>
      <c r="Z233" s="1"/>
      <c r="AA233" s="1"/>
      <c r="AB233" s="1"/>
      <c r="AC233" s="1"/>
      <c r="AD233" s="1"/>
      <c r="AE233" s="1"/>
      <c r="AF233" s="1"/>
    </row>
    <row r="234">
      <c r="C234" s="14" t="s">
        <v>16</v>
      </c>
      <c r="D234" s="15">
        <v>0.766666666666666</v>
      </c>
      <c r="E234" s="15">
        <v>0.785732669257956</v>
      </c>
      <c r="F234" s="15">
        <v>0.746713671366245</v>
      </c>
      <c r="G234" s="15">
        <v>0.727532600133292</v>
      </c>
      <c r="H234" s="15">
        <v>0.602748678392894</v>
      </c>
      <c r="I234" s="15">
        <v>0.60939380742785</v>
      </c>
      <c r="J234" s="16">
        <v>20.0666666666666</v>
      </c>
      <c r="K234" s="16">
        <v>3.26666666666666</v>
      </c>
      <c r="L234" s="17">
        <v>219.6</v>
      </c>
      <c r="M234" s="17">
        <v>80.4</v>
      </c>
      <c r="N234" s="17">
        <f t="shared" ref="N234:N241" si="70">L234+M234</f>
        <v>300</v>
      </c>
      <c r="O234" s="8">
        <v>874.8</v>
      </c>
      <c r="P234" s="8">
        <v>325.2</v>
      </c>
      <c r="Q234" s="17">
        <f t="shared" ref="Q234:Q241" si="71">O234+P234</f>
        <v>1200</v>
      </c>
      <c r="R234" s="15">
        <v>0.0150554530541816</v>
      </c>
      <c r="S234" s="15">
        <v>0.0354899197078827</v>
      </c>
      <c r="T234" s="15">
        <v>0.0363940171403834</v>
      </c>
      <c r="U234" s="15">
        <v>0.0456895062932965</v>
      </c>
      <c r="V234" s="15">
        <v>0.0218302622403929</v>
      </c>
      <c r="W234" s="15">
        <v>0.0269391319172679</v>
      </c>
      <c r="X234" s="15">
        <v>1.92527054375915</v>
      </c>
      <c r="Y234" s="15">
        <v>1.38884444373331</v>
      </c>
      <c r="Z234" s="1"/>
      <c r="AA234" s="1"/>
      <c r="AB234" s="21"/>
      <c r="AC234" s="21"/>
      <c r="AD234" s="21"/>
      <c r="AE234" s="1"/>
      <c r="AF234" s="1"/>
    </row>
    <row r="235">
      <c r="C235" s="14" t="s">
        <v>20</v>
      </c>
      <c r="D235" s="15">
        <v>0.634604085154715</v>
      </c>
      <c r="E235" s="15">
        <v>0.595120938761013</v>
      </c>
      <c r="F235" s="15">
        <v>0.548726113232392</v>
      </c>
      <c r="G235" s="15">
        <v>0.480897630817869</v>
      </c>
      <c r="H235" s="15">
        <v>0.470415084375749</v>
      </c>
      <c r="I235" s="15">
        <v>0.462854473423999</v>
      </c>
      <c r="J235" s="16">
        <v>25.145250094017</v>
      </c>
      <c r="K235" s="16">
        <v>11.3943413905113</v>
      </c>
      <c r="L235" s="17">
        <v>36.0</v>
      </c>
      <c r="M235" s="17">
        <v>206.6</v>
      </c>
      <c r="N235" s="17">
        <f t="shared" si="70"/>
        <v>242.6</v>
      </c>
      <c r="O235" s="8">
        <v>378.2</v>
      </c>
      <c r="P235" s="8">
        <v>758.2</v>
      </c>
      <c r="Q235" s="17">
        <f t="shared" si="71"/>
        <v>1136.4</v>
      </c>
      <c r="R235" s="15">
        <v>0.0184114815800788</v>
      </c>
      <c r="S235" s="15">
        <v>0.0343750093323407</v>
      </c>
      <c r="T235" s="15">
        <v>0.0288355835944639</v>
      </c>
      <c r="U235" s="15">
        <v>0.0129703461038308</v>
      </c>
      <c r="V235" s="15">
        <v>0.020457482513522</v>
      </c>
      <c r="W235" s="15">
        <v>0.0131787651973039</v>
      </c>
      <c r="X235" s="15">
        <v>1.18569744322829</v>
      </c>
      <c r="Y235" s="15">
        <v>1.9731493510053</v>
      </c>
      <c r="Z235" s="1"/>
      <c r="AA235" s="1"/>
      <c r="AB235" s="21"/>
      <c r="AC235" s="21"/>
      <c r="AD235" s="21"/>
      <c r="AE235" s="1"/>
      <c r="AF235" s="1"/>
    </row>
    <row r="236">
      <c r="C236" s="14" t="s">
        <v>24</v>
      </c>
      <c r="D236" s="15">
        <v>0.76</v>
      </c>
      <c r="E236" s="15">
        <v>0.708036156511252</v>
      </c>
      <c r="F236" s="15">
        <v>0.584295062575392</v>
      </c>
      <c r="G236" s="15">
        <v>0.574688775746331</v>
      </c>
      <c r="H236" s="15">
        <v>0.661144564321798</v>
      </c>
      <c r="I236" s="15">
        <v>0.577240149686274</v>
      </c>
      <c r="J236" s="16">
        <v>19.6</v>
      </c>
      <c r="K236" s="16">
        <v>4.4</v>
      </c>
      <c r="L236" s="17">
        <v>28.6</v>
      </c>
      <c r="M236" s="17">
        <v>271.4</v>
      </c>
      <c r="N236" s="17">
        <f t="shared" si="70"/>
        <v>300</v>
      </c>
      <c r="O236" s="8">
        <v>109.2</v>
      </c>
      <c r="P236" s="8">
        <v>1090.8</v>
      </c>
      <c r="Q236" s="17">
        <f t="shared" si="71"/>
        <v>1200</v>
      </c>
      <c r="R236" s="15">
        <v>0.00869226987360356</v>
      </c>
      <c r="S236" s="15">
        <v>0.0288298632357092</v>
      </c>
      <c r="T236" s="15">
        <v>0.0221561142904919</v>
      </c>
      <c r="U236" s="15">
        <v>0.011740824208841</v>
      </c>
      <c r="V236" s="15">
        <v>0.0233761748119636</v>
      </c>
      <c r="W236" s="15">
        <v>0.0159417565245203</v>
      </c>
      <c r="X236" s="15">
        <v>1.14309521329881</v>
      </c>
      <c r="Y236" s="15">
        <v>0.573488351136175</v>
      </c>
      <c r="Z236" s="1"/>
      <c r="AA236" s="1"/>
      <c r="AB236" s="21"/>
      <c r="AC236" s="21"/>
      <c r="AD236" s="21"/>
      <c r="AE236" s="1"/>
      <c r="AF236" s="1"/>
    </row>
    <row r="237">
      <c r="C237" s="14" t="s">
        <v>25</v>
      </c>
      <c r="D237" s="18">
        <v>0.861333333333333</v>
      </c>
      <c r="E237" s="18">
        <v>0.906732616957294</v>
      </c>
      <c r="F237" s="18">
        <v>0.892625254382605</v>
      </c>
      <c r="G237" s="18">
        <v>0.862237507568674</v>
      </c>
      <c r="H237" s="18">
        <v>0.861347875188745</v>
      </c>
      <c r="I237" s="18">
        <v>0.861079573680191</v>
      </c>
      <c r="J237" s="16">
        <v>8.33333333333333</v>
      </c>
      <c r="K237" s="16">
        <v>5.53333333333333</v>
      </c>
      <c r="L237" s="17">
        <v>148.8</v>
      </c>
      <c r="M237" s="17">
        <v>151.2</v>
      </c>
      <c r="N237" s="17">
        <f t="shared" si="70"/>
        <v>300</v>
      </c>
      <c r="O237" s="8">
        <v>537.4</v>
      </c>
      <c r="P237" s="8">
        <v>662.6</v>
      </c>
      <c r="Q237" s="17">
        <f t="shared" si="71"/>
        <v>1200</v>
      </c>
      <c r="R237" s="15">
        <v>0.0182086670449968</v>
      </c>
      <c r="S237" s="15">
        <v>0.0116241723633483</v>
      </c>
      <c r="T237" s="15">
        <v>0.0203545314846964</v>
      </c>
      <c r="U237" s="15">
        <v>0.0176093574535377</v>
      </c>
      <c r="V237" s="15">
        <v>0.0185537463350555</v>
      </c>
      <c r="W237" s="15">
        <v>0.0183848000716639</v>
      </c>
      <c r="X237" s="15">
        <v>1.22927259430571</v>
      </c>
      <c r="Y237" s="15">
        <v>0.618241233033047</v>
      </c>
      <c r="Z237" s="1"/>
      <c r="AA237" s="1"/>
      <c r="AB237" s="21"/>
      <c r="AC237" s="21"/>
      <c r="AD237" s="21"/>
      <c r="AE237" s="1"/>
      <c r="AF237" s="1"/>
    </row>
    <row r="238">
      <c r="A238" s="1"/>
      <c r="B238" s="1"/>
      <c r="C238" s="14" t="s">
        <v>26</v>
      </c>
      <c r="D238" s="15">
        <v>0.268539604845413</v>
      </c>
      <c r="E238" s="15">
        <v>0.59778498690204</v>
      </c>
      <c r="F238" s="15">
        <v>0.577472679273439</v>
      </c>
      <c r="G238" s="15">
        <v>0.59689090966555</v>
      </c>
      <c r="H238" s="15">
        <v>0.556442107726223</v>
      </c>
      <c r="I238" s="15">
        <v>0.262457342065245</v>
      </c>
      <c r="J238" s="16">
        <v>73.1460395154586</v>
      </c>
      <c r="K238" s="23">
        <v>0.0</v>
      </c>
      <c r="L238" s="17">
        <v>36.6</v>
      </c>
      <c r="M238" s="17">
        <v>171.6</v>
      </c>
      <c r="N238" s="17">
        <f t="shared" si="70"/>
        <v>208.2</v>
      </c>
      <c r="O238" s="8">
        <v>884.0</v>
      </c>
      <c r="P238" s="8">
        <v>316.0</v>
      </c>
      <c r="Q238" s="17">
        <f t="shared" si="71"/>
        <v>1200</v>
      </c>
      <c r="R238" s="15">
        <v>0.0384686142646455</v>
      </c>
      <c r="S238" s="15">
        <v>0.0346206440225212</v>
      </c>
      <c r="T238" s="15">
        <v>0.0206959366040971</v>
      </c>
      <c r="U238" s="15">
        <v>0.0138105693639852</v>
      </c>
      <c r="V238" s="15">
        <v>0.0171422338684223</v>
      </c>
      <c r="W238" s="15">
        <v>0.0391466320874299</v>
      </c>
      <c r="X238" s="15">
        <v>3.84686142646455</v>
      </c>
      <c r="Y238" s="15">
        <v>0.0</v>
      </c>
      <c r="Z238" s="1"/>
      <c r="AA238" s="1"/>
      <c r="AB238" s="21"/>
      <c r="AC238" s="21"/>
      <c r="AD238" s="21"/>
      <c r="AE238" s="1"/>
      <c r="AF238" s="1"/>
    </row>
    <row r="239" ht="15.0" customHeight="1">
      <c r="A239" s="1"/>
      <c r="B239" s="1"/>
      <c r="C239" s="14" t="s">
        <v>27</v>
      </c>
      <c r="D239" s="15">
        <v>0.616777499455067</v>
      </c>
      <c r="E239" s="15">
        <v>0.681523571090229</v>
      </c>
      <c r="F239" s="15">
        <v>0.653977243897898</v>
      </c>
      <c r="G239" s="15">
        <v>0.661997894149537</v>
      </c>
      <c r="H239" s="15">
        <v>0.672936110806329</v>
      </c>
      <c r="I239" s="15">
        <v>0.615470050181886</v>
      </c>
      <c r="J239" s="16">
        <v>33.0457948635956</v>
      </c>
      <c r="K239" s="16">
        <v>5.27645519089768</v>
      </c>
      <c r="L239" s="17">
        <v>68.8</v>
      </c>
      <c r="M239" s="17">
        <v>136.8</v>
      </c>
      <c r="N239" s="17">
        <f t="shared" si="70"/>
        <v>205.6</v>
      </c>
      <c r="O239" s="8">
        <v>234.6</v>
      </c>
      <c r="P239" s="8">
        <v>965.4</v>
      </c>
      <c r="Q239" s="17">
        <f t="shared" si="71"/>
        <v>1200</v>
      </c>
      <c r="R239" s="15">
        <v>0.0348190558608494</v>
      </c>
      <c r="S239" s="15">
        <v>0.0395433962700076</v>
      </c>
      <c r="T239" s="15">
        <v>0.0320686166762379</v>
      </c>
      <c r="U239" s="15">
        <v>0.0242775562434818</v>
      </c>
      <c r="V239" s="15">
        <v>0.0302980262580474</v>
      </c>
      <c r="W239" s="15">
        <v>0.0340297790669498</v>
      </c>
      <c r="X239" s="15">
        <v>3.06820654626253</v>
      </c>
      <c r="Y239" s="15">
        <v>0.731322383230651</v>
      </c>
      <c r="Z239" s="1"/>
      <c r="AA239" s="1"/>
      <c r="AB239" s="21"/>
      <c r="AC239" s="21"/>
      <c r="AD239" s="21"/>
      <c r="AE239" s="1"/>
      <c r="AF239" s="1"/>
    </row>
    <row r="240" ht="15.0" customHeight="1">
      <c r="A240" s="1"/>
      <c r="B240" s="1"/>
      <c r="C240" s="14" t="s">
        <v>28</v>
      </c>
      <c r="D240" s="15">
        <v>0.806394930639013</v>
      </c>
      <c r="E240" s="18">
        <v>0.864410212038769</v>
      </c>
      <c r="F240" s="15">
        <v>0.826782073824829</v>
      </c>
      <c r="G240" s="15">
        <v>0.781688522180967</v>
      </c>
      <c r="H240" s="15">
        <v>0.795699599446565</v>
      </c>
      <c r="I240" s="15">
        <v>0.785364884842097</v>
      </c>
      <c r="J240" s="16">
        <v>11.5551066908811</v>
      </c>
      <c r="K240" s="16">
        <v>7.80540024521744</v>
      </c>
      <c r="L240" s="17">
        <v>79.2</v>
      </c>
      <c r="M240" s="17">
        <v>163.6</v>
      </c>
      <c r="N240" s="17">
        <f t="shared" si="70"/>
        <v>242.8</v>
      </c>
      <c r="O240" s="8">
        <v>194.4</v>
      </c>
      <c r="P240" s="8">
        <v>1005.6</v>
      </c>
      <c r="Q240" s="17">
        <f t="shared" si="71"/>
        <v>1200</v>
      </c>
      <c r="R240" s="15">
        <v>0.0255910902175339</v>
      </c>
      <c r="S240" s="15">
        <v>0.0133550662236884</v>
      </c>
      <c r="T240" s="15">
        <v>0.0264292799517082</v>
      </c>
      <c r="U240" s="15">
        <v>0.0314715338588325</v>
      </c>
      <c r="V240" s="15">
        <v>0.030338811556663</v>
      </c>
      <c r="W240" s="15">
        <v>0.0302781367299314</v>
      </c>
      <c r="X240" s="15">
        <v>2.87480745889553</v>
      </c>
      <c r="Y240" s="15">
        <v>2.2122567110125</v>
      </c>
      <c r="Z240" s="1"/>
      <c r="AA240" s="1"/>
      <c r="AB240" s="21"/>
      <c r="AC240" s="21"/>
      <c r="AD240" s="21"/>
      <c r="AE240" s="1"/>
      <c r="AF240" s="1"/>
    </row>
    <row r="241" ht="15.0" customHeight="1">
      <c r="A241" s="1"/>
      <c r="B241" s="1"/>
      <c r="C241" s="14" t="s">
        <v>29</v>
      </c>
      <c r="D241" s="18">
        <v>0.921685600315317</v>
      </c>
      <c r="E241" s="18">
        <v>0.928100851363643</v>
      </c>
      <c r="F241" s="18">
        <v>0.908107274440099</v>
      </c>
      <c r="G241" s="18">
        <v>0.917787775320758</v>
      </c>
      <c r="H241" s="18">
        <v>0.915150012207651</v>
      </c>
      <c r="I241" s="18">
        <v>0.916427381980954</v>
      </c>
      <c r="J241" s="16">
        <v>3.6277281099491</v>
      </c>
      <c r="K241" s="16">
        <v>4.20371185851912</v>
      </c>
      <c r="L241" s="17">
        <v>91.8</v>
      </c>
      <c r="M241" s="17">
        <v>150.8</v>
      </c>
      <c r="N241" s="17">
        <f t="shared" si="70"/>
        <v>242.6</v>
      </c>
      <c r="O241" s="8">
        <v>397.6</v>
      </c>
      <c r="P241" s="8">
        <v>802.4</v>
      </c>
      <c r="Q241" s="17">
        <f t="shared" si="71"/>
        <v>1200</v>
      </c>
      <c r="R241" s="15">
        <v>0.00857780493981092</v>
      </c>
      <c r="S241" s="15">
        <v>0.00837300115995866</v>
      </c>
      <c r="T241" s="15">
        <v>0.0109683568215194</v>
      </c>
      <c r="U241" s="15">
        <v>0.00840205700685978</v>
      </c>
      <c r="V241" s="15">
        <v>0.0087224832531004</v>
      </c>
      <c r="W241" s="15">
        <v>0.00855649537933811</v>
      </c>
      <c r="X241" s="15">
        <v>0.405763122784531</v>
      </c>
      <c r="Y241" s="15">
        <v>0.472131472432244</v>
      </c>
      <c r="Z241" s="1"/>
      <c r="AA241" s="1"/>
      <c r="AB241" s="21"/>
      <c r="AC241" s="21"/>
      <c r="AD241" s="21"/>
      <c r="AE241" s="1"/>
      <c r="AF241" s="1"/>
    </row>
    <row r="242" ht="15.0" customHeight="1">
      <c r="A242" s="1"/>
      <c r="B242" s="1"/>
      <c r="C242" s="14" t="s">
        <v>31</v>
      </c>
      <c r="D242" s="18">
        <f t="shared" ref="D242:Y242" si="72">MEDIAN(D234:D241)</f>
        <v>0.7633333333</v>
      </c>
      <c r="E242" s="18">
        <f t="shared" si="72"/>
        <v>0.7468844129</v>
      </c>
      <c r="F242" s="18">
        <f t="shared" si="72"/>
        <v>0.7003454576</v>
      </c>
      <c r="G242" s="18">
        <f t="shared" si="72"/>
        <v>0.6947652471</v>
      </c>
      <c r="H242" s="18">
        <f t="shared" si="72"/>
        <v>0.6670403376</v>
      </c>
      <c r="I242" s="18">
        <f t="shared" si="72"/>
        <v>0.6124319288</v>
      </c>
      <c r="J242" s="16">
        <f t="shared" si="72"/>
        <v>19.83333333</v>
      </c>
      <c r="K242" s="16">
        <f t="shared" si="72"/>
        <v>4.838227595</v>
      </c>
      <c r="L242" s="29">
        <f t="shared" si="72"/>
        <v>74</v>
      </c>
      <c r="M242" s="29">
        <f t="shared" si="72"/>
        <v>157.4</v>
      </c>
      <c r="N242" s="29">
        <f t="shared" si="72"/>
        <v>242.7</v>
      </c>
      <c r="O242" s="29">
        <f t="shared" si="72"/>
        <v>387.9</v>
      </c>
      <c r="P242" s="29">
        <f t="shared" si="72"/>
        <v>780.3</v>
      </c>
      <c r="Q242" s="29">
        <f t="shared" si="72"/>
        <v>1200</v>
      </c>
      <c r="R242" s="29">
        <f t="shared" si="72"/>
        <v>0.01831007431</v>
      </c>
      <c r="S242" s="29">
        <f t="shared" si="72"/>
        <v>0.03160243628</v>
      </c>
      <c r="T242" s="29">
        <f t="shared" si="72"/>
        <v>0.02429269712</v>
      </c>
      <c r="U242" s="29">
        <f t="shared" si="72"/>
        <v>0.01570996341</v>
      </c>
      <c r="V242" s="29">
        <f t="shared" si="72"/>
        <v>0.02114387238</v>
      </c>
      <c r="W242" s="29">
        <f t="shared" si="72"/>
        <v>0.02266196599</v>
      </c>
      <c r="X242" s="29">
        <f t="shared" si="72"/>
        <v>1.577271569</v>
      </c>
      <c r="Y242" s="29">
        <f t="shared" si="72"/>
        <v>0.6747818081</v>
      </c>
      <c r="AA242" s="14"/>
      <c r="AB242" s="18"/>
      <c r="AC242" s="15"/>
      <c r="AD242" s="15"/>
    </row>
    <row r="243">
      <c r="A243" s="1"/>
      <c r="B243" s="1"/>
      <c r="AA243" s="14" t="s">
        <v>20</v>
      </c>
      <c r="AB243" s="15">
        <v>0.744125697589872</v>
      </c>
      <c r="AC243" s="15">
        <v>0.801617972707891</v>
      </c>
      <c r="AD243" s="15">
        <v>0.714935854076066</v>
      </c>
    </row>
    <row r="244">
      <c r="A244" s="1"/>
      <c r="B244" s="1"/>
      <c r="C244" s="1" t="s">
        <v>32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4" t="s">
        <v>24</v>
      </c>
      <c r="AB244" s="22">
        <v>0.954</v>
      </c>
      <c r="AC244" s="22">
        <v>0.974132658523618</v>
      </c>
      <c r="AD244" s="18">
        <v>0.880610574232634</v>
      </c>
      <c r="AE244" s="1"/>
      <c r="AF244" s="1"/>
    </row>
    <row r="245">
      <c r="C245" s="20" t="s">
        <v>1</v>
      </c>
      <c r="D245" s="20" t="s">
        <v>2</v>
      </c>
      <c r="E245" s="20" t="s">
        <v>3</v>
      </c>
      <c r="F245" s="20" t="s">
        <v>4</v>
      </c>
      <c r="G245" s="20" t="s">
        <v>5</v>
      </c>
      <c r="H245" s="20" t="s">
        <v>6</v>
      </c>
      <c r="I245" s="20" t="s">
        <v>7</v>
      </c>
      <c r="J245" s="20" t="s">
        <v>8</v>
      </c>
      <c r="K245" s="20" t="s">
        <v>9</v>
      </c>
      <c r="L245" s="20" t="s">
        <v>10</v>
      </c>
      <c r="M245" s="20" t="s">
        <v>11</v>
      </c>
      <c r="N245" s="20" t="s">
        <v>12</v>
      </c>
      <c r="O245" s="20" t="s">
        <v>13</v>
      </c>
      <c r="P245" s="20" t="s">
        <v>14</v>
      </c>
      <c r="Q245" s="20" t="s">
        <v>15</v>
      </c>
      <c r="R245" s="20" t="s">
        <v>2</v>
      </c>
      <c r="S245" s="20" t="s">
        <v>3</v>
      </c>
      <c r="T245" s="20" t="s">
        <v>4</v>
      </c>
      <c r="U245" s="20" t="s">
        <v>5</v>
      </c>
      <c r="V245" s="20" t="s">
        <v>6</v>
      </c>
      <c r="W245" s="20" t="s">
        <v>7</v>
      </c>
      <c r="X245" s="20" t="s">
        <v>8</v>
      </c>
      <c r="Y245" s="20" t="s">
        <v>9</v>
      </c>
      <c r="Z245" s="1"/>
      <c r="AA245" s="1"/>
      <c r="AB245" s="21"/>
      <c r="AC245" s="21"/>
      <c r="AD245" s="21"/>
      <c r="AE245" s="1"/>
      <c r="AF245" s="1"/>
    </row>
    <row r="246">
      <c r="C246" s="14" t="s">
        <v>16</v>
      </c>
      <c r="D246" s="18">
        <v>0.921333333333333</v>
      </c>
      <c r="E246" s="18">
        <v>0.941530628040241</v>
      </c>
      <c r="F246" s="18">
        <v>0.930047365029005</v>
      </c>
      <c r="G246" s="18">
        <v>0.899054334112328</v>
      </c>
      <c r="H246" s="18">
        <v>0.901581194159162</v>
      </c>
      <c r="I246" s="18">
        <v>0.900196793574061</v>
      </c>
      <c r="J246" s="16">
        <v>3.8</v>
      </c>
      <c r="K246" s="16">
        <v>4.06666666666666</v>
      </c>
      <c r="L246" s="17">
        <v>218.6</v>
      </c>
      <c r="M246" s="17">
        <v>81.4</v>
      </c>
      <c r="N246" s="17">
        <f t="shared" ref="N246:N253" si="73">L246+M246</f>
        <v>300</v>
      </c>
      <c r="O246" s="17">
        <v>874.8</v>
      </c>
      <c r="P246" s="17">
        <v>325.2</v>
      </c>
      <c r="Q246" s="17">
        <f t="shared" ref="Q246:Q253" si="74">O246+P246</f>
        <v>1200</v>
      </c>
      <c r="R246" s="15">
        <v>0.0143913554299486</v>
      </c>
      <c r="S246" s="15">
        <v>0.0117256309774809</v>
      </c>
      <c r="T246" s="15">
        <v>0.0100349853714334</v>
      </c>
      <c r="U246" s="15">
        <v>0.0221320151625535</v>
      </c>
      <c r="V246" s="15">
        <v>0.0173892750835482</v>
      </c>
      <c r="W246" s="15">
        <v>0.0195970259741538</v>
      </c>
      <c r="X246" s="15">
        <v>0.541602560309064</v>
      </c>
      <c r="Y246" s="15">
        <v>1.04136662345422</v>
      </c>
      <c r="Z246" s="1"/>
      <c r="AA246" s="1"/>
      <c r="AB246" s="21"/>
      <c r="AC246" s="21"/>
      <c r="AD246" s="21"/>
      <c r="AE246" s="1"/>
      <c r="AF246" s="1"/>
    </row>
    <row r="247">
      <c r="C247" s="14" t="s">
        <v>20</v>
      </c>
      <c r="D247" s="15">
        <v>0.744125697589872</v>
      </c>
      <c r="E247" s="15">
        <v>0.801617972707891</v>
      </c>
      <c r="F247" s="15">
        <v>0.76144573775206</v>
      </c>
      <c r="G247" s="15">
        <v>0.720645578366917</v>
      </c>
      <c r="H247" s="15">
        <v>0.712977075248923</v>
      </c>
      <c r="I247" s="15">
        <v>0.714935854076066</v>
      </c>
      <c r="J247" s="16">
        <v>11.6622526005365</v>
      </c>
      <c r="K247" s="16">
        <v>13.9251776404761</v>
      </c>
      <c r="L247" s="17">
        <v>99.2</v>
      </c>
      <c r="M247" s="17">
        <v>180.4</v>
      </c>
      <c r="N247" s="17">
        <f t="shared" si="73"/>
        <v>279.6</v>
      </c>
      <c r="O247" s="17">
        <v>378.2</v>
      </c>
      <c r="P247" s="17">
        <v>758.2</v>
      </c>
      <c r="Q247" s="17">
        <f t="shared" si="74"/>
        <v>1136.4</v>
      </c>
      <c r="R247" s="15">
        <v>0.0192529937211578</v>
      </c>
      <c r="S247" s="15">
        <v>0.0162277098866812</v>
      </c>
      <c r="T247" s="15">
        <v>0.021687387267964</v>
      </c>
      <c r="U247" s="15">
        <v>0.0285801690553664</v>
      </c>
      <c r="V247" s="15">
        <v>0.0250120638930405</v>
      </c>
      <c r="W247" s="15">
        <v>0.0248770594164572</v>
      </c>
      <c r="X247" s="15">
        <v>2.38714092860769</v>
      </c>
      <c r="Y247" s="15">
        <v>1.80556867376714</v>
      </c>
      <c r="Z247" s="1"/>
      <c r="AA247" s="1"/>
      <c r="AB247" s="21"/>
      <c r="AC247" s="21"/>
      <c r="AD247" s="21"/>
      <c r="AE247" s="1"/>
      <c r="AF247" s="1"/>
    </row>
    <row r="248">
      <c r="C248" s="14" t="s">
        <v>24</v>
      </c>
      <c r="D248" s="22">
        <v>0.954</v>
      </c>
      <c r="E248" s="22">
        <v>0.974132658523618</v>
      </c>
      <c r="F248" s="18">
        <v>0.854369224916077</v>
      </c>
      <c r="G248" s="18">
        <v>0.850506679899443</v>
      </c>
      <c r="H248" s="18">
        <v>0.921181183635417</v>
      </c>
      <c r="I248" s="18">
        <v>0.880610574232634</v>
      </c>
      <c r="J248" s="16">
        <v>3.4</v>
      </c>
      <c r="K248" s="23">
        <v>1.2</v>
      </c>
      <c r="L248" s="17">
        <v>29.2</v>
      </c>
      <c r="M248" s="17">
        <v>270.8</v>
      </c>
      <c r="N248" s="17">
        <f t="shared" si="73"/>
        <v>300</v>
      </c>
      <c r="O248" s="30">
        <v>109.2</v>
      </c>
      <c r="P248" s="17">
        <v>1090.8</v>
      </c>
      <c r="Q248" s="17">
        <f t="shared" si="74"/>
        <v>1200</v>
      </c>
      <c r="R248" s="15">
        <v>0.0038873012632302</v>
      </c>
      <c r="S248" s="15">
        <v>0.00347444262937355</v>
      </c>
      <c r="T248" s="15">
        <v>0.0297035912276572</v>
      </c>
      <c r="U248" s="15">
        <v>0.0113770524383933</v>
      </c>
      <c r="V248" s="15">
        <v>0.0256619237253851</v>
      </c>
      <c r="W248" s="15">
        <v>0.00873580903104107</v>
      </c>
      <c r="X248" s="15">
        <v>0.38873012632302</v>
      </c>
      <c r="Y248" s="15">
        <v>0.65319726474218</v>
      </c>
      <c r="Z248" s="1"/>
      <c r="AA248" s="1"/>
      <c r="AB248" s="21"/>
      <c r="AC248" s="21"/>
      <c r="AD248" s="21"/>
      <c r="AE248" s="1"/>
      <c r="AF248" s="1"/>
    </row>
    <row r="249">
      <c r="A249" s="1"/>
      <c r="B249" s="1"/>
      <c r="C249" s="14" t="s">
        <v>25</v>
      </c>
      <c r="D249" s="18">
        <v>0.872666666666666</v>
      </c>
      <c r="E249" s="18">
        <v>0.949259156233995</v>
      </c>
      <c r="F249" s="18">
        <v>0.947312436984006</v>
      </c>
      <c r="G249" s="18">
        <v>0.872339397181536</v>
      </c>
      <c r="H249" s="18">
        <v>0.872297952796047</v>
      </c>
      <c r="I249" s="18">
        <v>0.871182284313492</v>
      </c>
      <c r="J249" s="16">
        <v>6.46666666666666</v>
      </c>
      <c r="K249" s="16">
        <v>6.26666666666666</v>
      </c>
      <c r="L249" s="17">
        <v>134.0</v>
      </c>
      <c r="M249" s="17">
        <v>166.0</v>
      </c>
      <c r="N249" s="17">
        <f t="shared" si="73"/>
        <v>300</v>
      </c>
      <c r="O249" s="17">
        <v>537.4</v>
      </c>
      <c r="P249" s="17">
        <v>662.6</v>
      </c>
      <c r="Q249" s="17">
        <f t="shared" si="74"/>
        <v>1200</v>
      </c>
      <c r="R249" s="15">
        <v>0.0097524925588852</v>
      </c>
      <c r="S249" s="15">
        <v>0.013729647656712</v>
      </c>
      <c r="T249" s="15">
        <v>0.0136390353545771</v>
      </c>
      <c r="U249" s="15">
        <v>0.00798046840054801</v>
      </c>
      <c r="V249" s="15">
        <v>0.0114282682837196</v>
      </c>
      <c r="W249" s="15">
        <v>0.00973838604732542</v>
      </c>
      <c r="X249" s="15">
        <v>1.58605030044937</v>
      </c>
      <c r="Y249" s="15">
        <v>2.08059820457696</v>
      </c>
      <c r="Z249" s="1"/>
      <c r="AA249" s="1"/>
      <c r="AB249" s="21"/>
      <c r="AC249" s="21"/>
      <c r="AD249" s="21"/>
      <c r="AE249" s="1"/>
      <c r="AF249" s="1"/>
    </row>
    <row r="250">
      <c r="A250" s="1"/>
      <c r="B250" s="1"/>
      <c r="C250" s="14" t="s">
        <v>26</v>
      </c>
      <c r="D250" s="18">
        <v>0.918666666666666</v>
      </c>
      <c r="E250" s="18">
        <v>0.943228697169841</v>
      </c>
      <c r="F250" s="18">
        <v>0.919095795982147</v>
      </c>
      <c r="G250" s="18">
        <v>0.899736628498334</v>
      </c>
      <c r="H250" s="18">
        <v>0.896513030653462</v>
      </c>
      <c r="I250" s="18">
        <v>0.897871263448345</v>
      </c>
      <c r="J250" s="16">
        <v>4.26666666666666</v>
      </c>
      <c r="K250" s="16">
        <v>3.86666666666666</v>
      </c>
      <c r="L250" s="17">
        <v>217.0</v>
      </c>
      <c r="M250" s="17">
        <v>83.0</v>
      </c>
      <c r="N250" s="17">
        <f t="shared" si="73"/>
        <v>300</v>
      </c>
      <c r="O250" s="17">
        <v>884.0</v>
      </c>
      <c r="P250" s="17">
        <v>316.0</v>
      </c>
      <c r="Q250" s="17">
        <f t="shared" si="74"/>
        <v>1200</v>
      </c>
      <c r="R250" s="15">
        <v>0.0100221975855819</v>
      </c>
      <c r="S250" s="15">
        <v>0.0167006099340607</v>
      </c>
      <c r="T250" s="15">
        <v>0.00957643613779288</v>
      </c>
      <c r="U250" s="15">
        <v>0.0044968916173044</v>
      </c>
      <c r="V250" s="15">
        <v>0.0112981216200774</v>
      </c>
      <c r="W250" s="15">
        <v>0.00709098699383911</v>
      </c>
      <c r="X250" s="15">
        <v>0.952190457139046</v>
      </c>
      <c r="Y250" s="15">
        <v>0.581186525805423</v>
      </c>
      <c r="Z250" s="1"/>
      <c r="AA250" s="1"/>
      <c r="AB250" s="21"/>
      <c r="AC250" s="21"/>
      <c r="AD250" s="21"/>
      <c r="AE250" s="1"/>
      <c r="AF250" s="1"/>
    </row>
    <row r="251">
      <c r="A251" s="1"/>
      <c r="B251" s="1"/>
      <c r="C251" s="14" t="s">
        <v>27</v>
      </c>
      <c r="D251" s="18">
        <v>0.919333333333333</v>
      </c>
      <c r="E251" s="22">
        <v>0.950661914575858</v>
      </c>
      <c r="F251" s="18">
        <v>0.882332496413234</v>
      </c>
      <c r="G251" s="18">
        <v>0.858241474443802</v>
      </c>
      <c r="H251" s="18">
        <v>0.910533291261416</v>
      </c>
      <c r="I251" s="18">
        <v>0.880293391356061</v>
      </c>
      <c r="J251" s="16">
        <v>6.06666666666666</v>
      </c>
      <c r="K251" s="23">
        <v>2.0</v>
      </c>
      <c r="L251" s="17">
        <v>58.6</v>
      </c>
      <c r="M251" s="17">
        <v>241.4</v>
      </c>
      <c r="N251" s="17">
        <f t="shared" si="73"/>
        <v>300</v>
      </c>
      <c r="O251" s="17">
        <v>234.6</v>
      </c>
      <c r="P251" s="17">
        <v>965.4</v>
      </c>
      <c r="Q251" s="17">
        <f t="shared" si="74"/>
        <v>1200</v>
      </c>
      <c r="R251" s="15">
        <v>0.0118133634311129</v>
      </c>
      <c r="S251" s="15">
        <v>0.0108687664866602</v>
      </c>
      <c r="T251" s="15">
        <v>0.0264964183523126</v>
      </c>
      <c r="U251" s="15">
        <v>0.0203799515966631</v>
      </c>
      <c r="V251" s="15">
        <v>0.0181501071609266</v>
      </c>
      <c r="W251" s="15">
        <v>0.0193805753679717</v>
      </c>
      <c r="X251" s="15">
        <v>0.879393730551527</v>
      </c>
      <c r="Y251" s="15">
        <v>0.557773351022717</v>
      </c>
      <c r="Z251" s="1"/>
      <c r="AA251" s="1"/>
      <c r="AB251" s="21"/>
      <c r="AC251" s="21"/>
      <c r="AD251" s="21"/>
      <c r="AE251" s="1"/>
      <c r="AF251" s="1"/>
    </row>
    <row r="252">
      <c r="A252" s="1"/>
      <c r="B252" s="1"/>
      <c r="C252" s="14" t="s">
        <v>28</v>
      </c>
      <c r="D252" s="15">
        <v>0.841333333333333</v>
      </c>
      <c r="E252" s="15">
        <v>0.827520113267064</v>
      </c>
      <c r="F252" s="15">
        <v>0.728909746172362</v>
      </c>
      <c r="G252" s="15">
        <v>0.693094296270844</v>
      </c>
      <c r="H252" s="15">
        <v>0.707723499418031</v>
      </c>
      <c r="I252" s="15">
        <v>0.698631484189185</v>
      </c>
      <c r="J252" s="16">
        <v>8.66666666666666</v>
      </c>
      <c r="K252" s="16">
        <v>7.2</v>
      </c>
      <c r="L252" s="17">
        <v>45.0</v>
      </c>
      <c r="M252" s="17">
        <v>255.0</v>
      </c>
      <c r="N252" s="17">
        <f t="shared" si="73"/>
        <v>300</v>
      </c>
      <c r="O252" s="17">
        <v>194.4</v>
      </c>
      <c r="P252" s="17">
        <v>1005.6</v>
      </c>
      <c r="Q252" s="17">
        <f t="shared" si="74"/>
        <v>1200</v>
      </c>
      <c r="R252" s="15">
        <v>0.0154344492037203</v>
      </c>
      <c r="S252" s="15">
        <v>0.0148298992903613</v>
      </c>
      <c r="T252" s="15">
        <v>0.0103127905103282</v>
      </c>
      <c r="U252" s="15">
        <v>0.0136171259952309</v>
      </c>
      <c r="V252" s="15">
        <v>0.025086378883377</v>
      </c>
      <c r="W252" s="15">
        <v>0.0163644149257614</v>
      </c>
      <c r="X252" s="15">
        <v>1.59164485150844</v>
      </c>
      <c r="Y252" s="15">
        <v>1.20369800568451</v>
      </c>
      <c r="Z252" s="1"/>
      <c r="AA252" s="1"/>
      <c r="AB252" s="21"/>
      <c r="AC252" s="21"/>
      <c r="AD252" s="21"/>
      <c r="AE252" s="1"/>
      <c r="AF252" s="1"/>
    </row>
    <row r="253">
      <c r="A253" s="1"/>
      <c r="B253" s="1"/>
      <c r="C253" s="14" t="s">
        <v>29</v>
      </c>
      <c r="D253" s="18">
        <v>0.902666666666666</v>
      </c>
      <c r="E253" s="18">
        <v>0.941323037439201</v>
      </c>
      <c r="F253" s="18">
        <v>0.929588958375315</v>
      </c>
      <c r="G253" s="18">
        <v>0.891020909340264</v>
      </c>
      <c r="H253" s="18">
        <v>0.89906161188361</v>
      </c>
      <c r="I253" s="18">
        <v>0.894219074865883</v>
      </c>
      <c r="J253" s="16">
        <v>5.86666666666666</v>
      </c>
      <c r="K253" s="16">
        <v>3.86666666666666</v>
      </c>
      <c r="L253" s="17">
        <v>104.6</v>
      </c>
      <c r="M253" s="17">
        <v>195.4</v>
      </c>
      <c r="N253" s="17">
        <f t="shared" si="73"/>
        <v>300</v>
      </c>
      <c r="O253" s="17">
        <v>397.6</v>
      </c>
      <c r="P253" s="17">
        <v>802.4</v>
      </c>
      <c r="Q253" s="17">
        <f t="shared" si="74"/>
        <v>1200</v>
      </c>
      <c r="R253" s="15">
        <v>0.0154056266777217</v>
      </c>
      <c r="S253" s="15">
        <v>0.00877017845846425</v>
      </c>
      <c r="T253" s="15">
        <v>0.0103824710626676</v>
      </c>
      <c r="U253" s="15">
        <v>0.0170017558710134</v>
      </c>
      <c r="V253" s="15">
        <v>0.0133517830541529</v>
      </c>
      <c r="W253" s="15">
        <v>0.0153681759765785</v>
      </c>
      <c r="X253" s="15">
        <v>1.61382912492136</v>
      </c>
      <c r="Y253" s="15">
        <v>0.77746025264604</v>
      </c>
      <c r="Z253" s="1"/>
      <c r="AA253" s="1"/>
      <c r="AB253" s="21"/>
      <c r="AC253" s="21"/>
      <c r="AD253" s="21"/>
      <c r="AE253" s="1"/>
      <c r="AF253" s="1"/>
    </row>
    <row r="254">
      <c r="A254" s="1"/>
      <c r="B254" s="1"/>
      <c r="C254" s="14" t="s">
        <v>31</v>
      </c>
      <c r="D254" s="18">
        <f t="shared" ref="D254:Y254" si="75">MEDIAN(D246:D253)</f>
        <v>0.9106666667</v>
      </c>
      <c r="E254" s="18">
        <f t="shared" si="75"/>
        <v>0.9423796626</v>
      </c>
      <c r="F254" s="18">
        <f t="shared" si="75"/>
        <v>0.9007141462</v>
      </c>
      <c r="G254" s="18">
        <f t="shared" si="75"/>
        <v>0.8652904358</v>
      </c>
      <c r="H254" s="18">
        <f t="shared" si="75"/>
        <v>0.8977873213</v>
      </c>
      <c r="I254" s="18">
        <f t="shared" si="75"/>
        <v>0.8804519828</v>
      </c>
      <c r="J254" s="16">
        <f t="shared" si="75"/>
        <v>5.966666667</v>
      </c>
      <c r="K254" s="16">
        <f t="shared" si="75"/>
        <v>3.966666667</v>
      </c>
      <c r="L254" s="24">
        <f t="shared" si="75"/>
        <v>101.9</v>
      </c>
      <c r="M254" s="24">
        <f t="shared" si="75"/>
        <v>187.9</v>
      </c>
      <c r="N254" s="24">
        <f t="shared" si="75"/>
        <v>300</v>
      </c>
      <c r="O254" s="24">
        <f t="shared" si="75"/>
        <v>387.9</v>
      </c>
      <c r="P254" s="24">
        <f t="shared" si="75"/>
        <v>780.3</v>
      </c>
      <c r="Q254" s="24">
        <f t="shared" si="75"/>
        <v>1200</v>
      </c>
      <c r="R254" s="19">
        <f t="shared" si="75"/>
        <v>0.01310235943</v>
      </c>
      <c r="S254" s="19">
        <f t="shared" si="75"/>
        <v>0.01272763932</v>
      </c>
      <c r="T254" s="19">
        <f t="shared" si="75"/>
        <v>0.01201075321</v>
      </c>
      <c r="U254" s="19">
        <f t="shared" si="75"/>
        <v>0.01530944093</v>
      </c>
      <c r="V254" s="19">
        <f t="shared" si="75"/>
        <v>0.01776969112</v>
      </c>
      <c r="W254" s="19">
        <f t="shared" si="75"/>
        <v>0.01586629545</v>
      </c>
      <c r="X254" s="19">
        <f t="shared" si="75"/>
        <v>1.269120379</v>
      </c>
      <c r="Y254" s="19">
        <f t="shared" si="75"/>
        <v>0.9094134381</v>
      </c>
      <c r="AA254" s="14" t="s">
        <v>28</v>
      </c>
      <c r="AB254" s="15">
        <v>0.729041904530285</v>
      </c>
      <c r="AC254" s="15">
        <v>0.760345117536536</v>
      </c>
      <c r="AD254" s="15">
        <v>0.701012619515337</v>
      </c>
    </row>
    <row r="255">
      <c r="A255" s="1"/>
      <c r="B255" s="1"/>
      <c r="AA255" s="31"/>
      <c r="AB255" s="29"/>
      <c r="AC255" s="29"/>
      <c r="AD255" s="29"/>
    </row>
    <row r="256">
      <c r="A256" s="1"/>
      <c r="B256" s="1"/>
      <c r="C256" s="1" t="s">
        <v>33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C257" s="20" t="s">
        <v>1</v>
      </c>
      <c r="D257" s="20" t="s">
        <v>2</v>
      </c>
      <c r="E257" s="20" t="s">
        <v>3</v>
      </c>
      <c r="F257" s="20" t="s">
        <v>4</v>
      </c>
      <c r="G257" s="20" t="s">
        <v>5</v>
      </c>
      <c r="H257" s="20" t="s">
        <v>6</v>
      </c>
      <c r="I257" s="20" t="s">
        <v>7</v>
      </c>
      <c r="J257" s="20" t="s">
        <v>8</v>
      </c>
      <c r="K257" s="20" t="s">
        <v>9</v>
      </c>
      <c r="L257" s="20" t="s">
        <v>10</v>
      </c>
      <c r="M257" s="20" t="s">
        <v>11</v>
      </c>
      <c r="N257" s="20" t="s">
        <v>12</v>
      </c>
      <c r="O257" s="20" t="s">
        <v>13</v>
      </c>
      <c r="P257" s="20" t="s">
        <v>14</v>
      </c>
      <c r="Q257" s="20" t="s">
        <v>15</v>
      </c>
      <c r="R257" s="20" t="s">
        <v>2</v>
      </c>
      <c r="S257" s="20" t="s">
        <v>3</v>
      </c>
      <c r="T257" s="20" t="s">
        <v>4</v>
      </c>
      <c r="U257" s="20" t="s">
        <v>5</v>
      </c>
      <c r="V257" s="20" t="s">
        <v>6</v>
      </c>
      <c r="W257" s="20" t="s">
        <v>7</v>
      </c>
      <c r="X257" s="20" t="s">
        <v>8</v>
      </c>
      <c r="Y257" s="20" t="s">
        <v>9</v>
      </c>
      <c r="Z257" s="1"/>
      <c r="AA257" s="32"/>
      <c r="AB257" s="1"/>
      <c r="AC257" s="1"/>
      <c r="AD257" s="1"/>
      <c r="AE257" s="1"/>
      <c r="AF257" s="1"/>
    </row>
    <row r="258">
      <c r="C258" s="14" t="s">
        <v>16</v>
      </c>
      <c r="D258" s="15">
        <v>0.759548229548229</v>
      </c>
      <c r="E258" s="18">
        <v>0.856966155706495</v>
      </c>
      <c r="F258" s="15">
        <v>0.819605171106988</v>
      </c>
      <c r="G258" s="15">
        <v>0.743144598823886</v>
      </c>
      <c r="H258" s="15">
        <v>0.717122574211453</v>
      </c>
      <c r="I258" s="15">
        <v>0.721338639793005</v>
      </c>
      <c r="J258" s="16">
        <v>15.6964951383864</v>
      </c>
      <c r="K258" s="16">
        <v>8.34868190679061</v>
      </c>
      <c r="L258" s="17">
        <v>87.0</v>
      </c>
      <c r="M258" s="17">
        <v>47.4</v>
      </c>
      <c r="N258" s="17">
        <f t="shared" ref="N258:N265" si="76">L258+M258</f>
        <v>134.4</v>
      </c>
      <c r="O258" s="17">
        <v>874.8</v>
      </c>
      <c r="P258" s="17">
        <v>325.2</v>
      </c>
      <c r="Q258" s="17">
        <f t="shared" ref="Q258:Q265" si="77">O258+P258</f>
        <v>1200</v>
      </c>
      <c r="R258" s="15">
        <v>0.0351691840269908</v>
      </c>
      <c r="S258" s="15">
        <v>0.0236500825294245</v>
      </c>
      <c r="T258" s="15">
        <v>0.0246992115096946</v>
      </c>
      <c r="U258" s="15">
        <v>0.0204477834047944</v>
      </c>
      <c r="V258" s="15">
        <v>0.0407116323097924</v>
      </c>
      <c r="W258" s="15">
        <v>0.0384241798011371</v>
      </c>
      <c r="X258" s="15">
        <v>4.84610335042985</v>
      </c>
      <c r="Y258" s="15">
        <v>1.39826893142398</v>
      </c>
      <c r="Z258" s="1"/>
      <c r="AA258" s="1"/>
      <c r="AB258" s="1"/>
      <c r="AC258" s="1"/>
      <c r="AD258" s="1"/>
      <c r="AE258" s="1"/>
      <c r="AF258" s="1"/>
    </row>
    <row r="259">
      <c r="C259" s="14" t="s">
        <v>20</v>
      </c>
      <c r="D259" s="15">
        <v>0.841907298352411</v>
      </c>
      <c r="E259" s="18">
        <v>0.864951095922465</v>
      </c>
      <c r="F259" s="15">
        <v>0.755989988408174</v>
      </c>
      <c r="G259" s="15">
        <v>0.722964254408158</v>
      </c>
      <c r="H259" s="15">
        <v>0.808643731818452</v>
      </c>
      <c r="I259" s="15">
        <v>0.747289015650371</v>
      </c>
      <c r="J259" s="16">
        <v>11.942672220152</v>
      </c>
      <c r="K259" s="16">
        <v>3.86659794460676</v>
      </c>
      <c r="L259" s="17">
        <v>20.8</v>
      </c>
      <c r="M259" s="17">
        <v>114.4</v>
      </c>
      <c r="N259" s="17">
        <f t="shared" si="76"/>
        <v>135.2</v>
      </c>
      <c r="O259" s="17">
        <v>378.2</v>
      </c>
      <c r="P259" s="17">
        <v>758.2</v>
      </c>
      <c r="Q259" s="17">
        <f t="shared" si="77"/>
        <v>1136.4</v>
      </c>
      <c r="R259" s="15">
        <v>0.0115440636422768</v>
      </c>
      <c r="S259" s="15">
        <v>0.0250397921151701</v>
      </c>
      <c r="T259" s="15">
        <v>0.0259012121739085</v>
      </c>
      <c r="U259" s="15">
        <v>0.0150499415002973</v>
      </c>
      <c r="V259" s="15">
        <v>0.0348750321578112</v>
      </c>
      <c r="W259" s="15">
        <v>0.0101976770917945</v>
      </c>
      <c r="X259" s="15">
        <v>2.48073785035551</v>
      </c>
      <c r="Y259" s="15">
        <v>1.97362103954273</v>
      </c>
      <c r="Z259" s="1"/>
      <c r="AA259" s="1"/>
      <c r="AB259" s="21"/>
      <c r="AC259" s="21"/>
      <c r="AD259" s="21"/>
      <c r="AE259" s="1"/>
      <c r="AF259" s="1"/>
    </row>
    <row r="260">
      <c r="C260" s="14" t="s">
        <v>24</v>
      </c>
      <c r="D260" s="18">
        <v>0.903825779787318</v>
      </c>
      <c r="E260" s="18">
        <v>0.900068297806388</v>
      </c>
      <c r="F260" s="15">
        <v>0.820843736798178</v>
      </c>
      <c r="G260" s="15">
        <v>0.798987484022929</v>
      </c>
      <c r="H260" s="15">
        <v>0.827877854343971</v>
      </c>
      <c r="I260" s="15">
        <v>0.810365320136244</v>
      </c>
      <c r="J260" s="16">
        <v>5.53205572436341</v>
      </c>
      <c r="K260" s="16">
        <v>4.08536629690475</v>
      </c>
      <c r="L260" s="17">
        <v>25.2</v>
      </c>
      <c r="M260" s="17">
        <v>152.0</v>
      </c>
      <c r="N260" s="17">
        <f t="shared" si="76"/>
        <v>177.2</v>
      </c>
      <c r="O260" s="30">
        <v>109.2</v>
      </c>
      <c r="P260" s="17">
        <v>1090.8</v>
      </c>
      <c r="Q260" s="17">
        <f t="shared" si="77"/>
        <v>1200</v>
      </c>
      <c r="R260" s="15">
        <v>0.0323585285231958</v>
      </c>
      <c r="S260" s="15">
        <v>0.0277929203358458</v>
      </c>
      <c r="T260" s="15">
        <v>0.036842458968227</v>
      </c>
      <c r="U260" s="15">
        <v>0.0446754717206529</v>
      </c>
      <c r="V260" s="15">
        <v>0.0746089909863155</v>
      </c>
      <c r="W260" s="15">
        <v>0.0549979952617693</v>
      </c>
      <c r="X260" s="15">
        <v>1.39684138229472</v>
      </c>
      <c r="Y260" s="15">
        <v>2.30945040799461</v>
      </c>
      <c r="Z260" s="1"/>
      <c r="AA260" s="1"/>
      <c r="AB260" s="21"/>
      <c r="AC260" s="21"/>
      <c r="AD260" s="21"/>
      <c r="AE260" s="1"/>
      <c r="AF260" s="1"/>
    </row>
    <row r="261">
      <c r="A261" s="1"/>
      <c r="B261" s="1"/>
      <c r="C261" s="14" t="s">
        <v>25</v>
      </c>
      <c r="D261" s="15">
        <v>0.816334015179917</v>
      </c>
      <c r="E261" s="18">
        <v>0.897689892599178</v>
      </c>
      <c r="F261" s="18">
        <v>0.890171089235901</v>
      </c>
      <c r="G261" s="15">
        <v>0.820856390868511</v>
      </c>
      <c r="H261" s="15">
        <v>0.822345078422291</v>
      </c>
      <c r="I261" s="15">
        <v>0.815721111961877</v>
      </c>
      <c r="J261" s="16">
        <v>5.50925312099781</v>
      </c>
      <c r="K261" s="16">
        <v>12.8573453610103</v>
      </c>
      <c r="L261" s="17">
        <v>91.6</v>
      </c>
      <c r="M261" s="17">
        <v>73.4</v>
      </c>
      <c r="N261" s="17">
        <f t="shared" si="76"/>
        <v>165</v>
      </c>
      <c r="O261" s="17">
        <v>537.4</v>
      </c>
      <c r="P261" s="17">
        <v>662.6</v>
      </c>
      <c r="Q261" s="17">
        <f t="shared" si="77"/>
        <v>1200</v>
      </c>
      <c r="R261" s="15">
        <v>0.0205036438310359</v>
      </c>
      <c r="S261" s="15">
        <v>0.0123964560913794</v>
      </c>
      <c r="T261" s="15">
        <v>0.0103707242236317</v>
      </c>
      <c r="U261" s="15">
        <v>0.0196408751076322</v>
      </c>
      <c r="V261" s="15">
        <v>0.0218545629660648</v>
      </c>
      <c r="W261" s="15">
        <v>0.0206427702594444</v>
      </c>
      <c r="X261" s="15">
        <v>2.3830985336811</v>
      </c>
      <c r="Y261" s="15">
        <v>2.25351922235915</v>
      </c>
      <c r="Z261" s="1"/>
      <c r="AA261" s="1"/>
      <c r="AB261" s="21"/>
      <c r="AC261" s="21"/>
      <c r="AD261" s="21"/>
      <c r="AE261" s="1"/>
      <c r="AF261" s="1"/>
    </row>
    <row r="262">
      <c r="A262" s="1"/>
      <c r="B262" s="1"/>
      <c r="C262" s="14" t="s">
        <v>26</v>
      </c>
      <c r="D262" s="15">
        <v>0.815273508121279</v>
      </c>
      <c r="E262" s="18">
        <v>0.949778399121015</v>
      </c>
      <c r="F262" s="18">
        <v>0.91844395443997</v>
      </c>
      <c r="G262" s="15">
        <v>0.8360904476578</v>
      </c>
      <c r="H262" s="15">
        <v>0.720201083526117</v>
      </c>
      <c r="I262" s="15">
        <v>0.741026992393718</v>
      </c>
      <c r="J262" s="16">
        <v>16.2568519947692</v>
      </c>
      <c r="K262" s="23">
        <v>2.2157971931028</v>
      </c>
      <c r="L262" s="17">
        <v>100.4</v>
      </c>
      <c r="M262" s="17">
        <v>45.0</v>
      </c>
      <c r="N262" s="17">
        <f t="shared" si="76"/>
        <v>145.4</v>
      </c>
      <c r="O262" s="17">
        <v>884.0</v>
      </c>
      <c r="P262" s="17">
        <v>316.0</v>
      </c>
      <c r="Q262" s="17">
        <f t="shared" si="77"/>
        <v>1200</v>
      </c>
      <c r="R262" s="15">
        <v>0.028811928841657</v>
      </c>
      <c r="S262" s="15">
        <v>0.00942017211595441</v>
      </c>
      <c r="T262" s="15">
        <v>0.0112205332420893</v>
      </c>
      <c r="U262" s="15">
        <v>0.0198387988812441</v>
      </c>
      <c r="V262" s="15">
        <v>0.0530437983321158</v>
      </c>
      <c r="W262" s="15">
        <v>0.0605965828766203</v>
      </c>
      <c r="X262" s="15">
        <v>3.25574367242033</v>
      </c>
      <c r="Y262" s="15">
        <v>0.577572818907132</v>
      </c>
      <c r="Z262" s="1"/>
      <c r="AA262" s="1"/>
      <c r="AB262" s="21"/>
      <c r="AC262" s="21"/>
      <c r="AD262" s="21"/>
      <c r="AE262" s="1"/>
      <c r="AF262" s="1"/>
    </row>
    <row r="263">
      <c r="A263" s="1"/>
      <c r="B263" s="1"/>
      <c r="C263" s="33" t="s">
        <v>27</v>
      </c>
      <c r="D263" s="18">
        <v>0.87148971298894</v>
      </c>
      <c r="E263" s="18">
        <v>0.923460924947029</v>
      </c>
      <c r="F263" s="18">
        <v>0.915633096709707</v>
      </c>
      <c r="G263" s="18">
        <v>0.870163991897495</v>
      </c>
      <c r="H263" s="18">
        <v>0.874062300675675</v>
      </c>
      <c r="I263" s="18">
        <v>0.870136806910935</v>
      </c>
      <c r="J263" s="16">
        <v>7.50614533732391</v>
      </c>
      <c r="K263" s="16">
        <v>5.34488336378206</v>
      </c>
      <c r="L263" s="17">
        <v>42.0</v>
      </c>
      <c r="M263" s="17">
        <v>49.8</v>
      </c>
      <c r="N263" s="17">
        <f t="shared" si="76"/>
        <v>91.8</v>
      </c>
      <c r="O263" s="17">
        <v>234.6</v>
      </c>
      <c r="P263" s="17">
        <v>965.4</v>
      </c>
      <c r="Q263" s="17">
        <f t="shared" si="77"/>
        <v>1200</v>
      </c>
      <c r="R263" s="15">
        <v>0.0253035199530029</v>
      </c>
      <c r="S263" s="15">
        <v>0.0131778344331354</v>
      </c>
      <c r="T263" s="15">
        <v>0.0194198371755858</v>
      </c>
      <c r="U263" s="15">
        <v>0.0249637473982525</v>
      </c>
      <c r="V263" s="15">
        <v>0.0283748001765819</v>
      </c>
      <c r="W263" s="15">
        <v>0.0253568083595049</v>
      </c>
      <c r="X263" s="15">
        <v>2.53123618256882</v>
      </c>
      <c r="Y263" s="15">
        <v>2.2619889453679</v>
      </c>
      <c r="Z263" s="1"/>
      <c r="AA263" s="1"/>
      <c r="AB263" s="21"/>
      <c r="AC263" s="21"/>
      <c r="AD263" s="21"/>
      <c r="AE263" s="1"/>
      <c r="AF263" s="1"/>
    </row>
    <row r="264">
      <c r="A264" s="1"/>
      <c r="B264" s="1"/>
      <c r="C264" s="33" t="s">
        <v>28</v>
      </c>
      <c r="D264" s="15">
        <v>0.729041904530285</v>
      </c>
      <c r="E264" s="15">
        <v>0.760345117536536</v>
      </c>
      <c r="F264" s="15">
        <v>0.742747864630351</v>
      </c>
      <c r="G264" s="15">
        <v>0.702613114794388</v>
      </c>
      <c r="H264" s="15">
        <v>0.699951292827061</v>
      </c>
      <c r="I264" s="15">
        <v>0.701012619515337</v>
      </c>
      <c r="J264" s="16">
        <v>13.1263492255319</v>
      </c>
      <c r="K264" s="16">
        <v>13.9694603214395</v>
      </c>
      <c r="L264" s="17">
        <v>45.6</v>
      </c>
      <c r="M264" s="17">
        <v>83.6</v>
      </c>
      <c r="N264" s="17">
        <f t="shared" si="76"/>
        <v>129.2</v>
      </c>
      <c r="O264" s="17">
        <v>194.4</v>
      </c>
      <c r="P264" s="17">
        <v>1005.6</v>
      </c>
      <c r="Q264" s="17">
        <f t="shared" si="77"/>
        <v>1200</v>
      </c>
      <c r="R264" s="15">
        <v>0.0159797831241203</v>
      </c>
      <c r="S264" s="15">
        <v>0.0343256821260768</v>
      </c>
      <c r="T264" s="15">
        <v>0.0291783959771279</v>
      </c>
      <c r="U264" s="15">
        <v>0.0103092288163077</v>
      </c>
      <c r="V264" s="15">
        <v>0.0104754374028544</v>
      </c>
      <c r="W264" s="15">
        <v>0.0100232724004856</v>
      </c>
      <c r="X264" s="15">
        <v>1.1829361807623</v>
      </c>
      <c r="Y264" s="15">
        <v>0.988584485438127</v>
      </c>
      <c r="Z264" s="1"/>
      <c r="AA264" s="1"/>
      <c r="AB264" s="21"/>
      <c r="AC264" s="21"/>
      <c r="AD264" s="21"/>
      <c r="AE264" s="1"/>
      <c r="AF264" s="1"/>
    </row>
    <row r="265">
      <c r="A265" s="1"/>
      <c r="B265" s="1"/>
      <c r="C265" s="33" t="s">
        <v>29</v>
      </c>
      <c r="D265" s="18">
        <v>0.930435870925613</v>
      </c>
      <c r="E265" s="22">
        <v>0.955469452603778</v>
      </c>
      <c r="F265" s="18">
        <v>0.945674150206414</v>
      </c>
      <c r="G265" s="18">
        <v>0.930163001893039</v>
      </c>
      <c r="H265" s="18">
        <v>0.925232795277673</v>
      </c>
      <c r="I265" s="18">
        <v>0.926624866512056</v>
      </c>
      <c r="J265" s="23">
        <v>2.78309843826522</v>
      </c>
      <c r="K265" s="16">
        <v>4.17331446917342</v>
      </c>
      <c r="L265" s="17">
        <v>37.6</v>
      </c>
      <c r="M265" s="17">
        <v>57.4</v>
      </c>
      <c r="N265" s="17">
        <f t="shared" si="76"/>
        <v>95</v>
      </c>
      <c r="O265" s="17">
        <v>397.6</v>
      </c>
      <c r="P265" s="17">
        <v>802.4</v>
      </c>
      <c r="Q265" s="17">
        <f t="shared" si="77"/>
        <v>1200</v>
      </c>
      <c r="R265" s="15">
        <v>0.013523934786671</v>
      </c>
      <c r="S265" s="15">
        <v>0.0144236237656377</v>
      </c>
      <c r="T265" s="15">
        <v>0.0168652022848201</v>
      </c>
      <c r="U265" s="15">
        <v>0.016928649219819</v>
      </c>
      <c r="V265" s="15">
        <v>0.010858782542659</v>
      </c>
      <c r="W265" s="15">
        <v>0.0129541740933341</v>
      </c>
      <c r="X265" s="15">
        <v>1.76000783508694</v>
      </c>
      <c r="Y265" s="15">
        <v>1.36753516266766</v>
      </c>
      <c r="Z265" s="1"/>
      <c r="AA265" s="1"/>
      <c r="AB265" s="21"/>
      <c r="AC265" s="21"/>
      <c r="AD265" s="21"/>
      <c r="AE265" s="1"/>
      <c r="AF265" s="1"/>
    </row>
    <row r="266">
      <c r="A266" s="1"/>
      <c r="B266" s="1"/>
      <c r="C266" s="14" t="s">
        <v>31</v>
      </c>
      <c r="D266" s="18">
        <f t="shared" ref="D266:Y266" si="78">MEDIAN(D258:D265)</f>
        <v>0.8291206568</v>
      </c>
      <c r="E266" s="18">
        <f t="shared" si="78"/>
        <v>0.8988790952</v>
      </c>
      <c r="F266" s="18">
        <f t="shared" si="78"/>
        <v>0.855507413</v>
      </c>
      <c r="G266" s="18">
        <f t="shared" si="78"/>
        <v>0.8099219374</v>
      </c>
      <c r="H266" s="18">
        <f t="shared" si="78"/>
        <v>0.8154944051</v>
      </c>
      <c r="I266" s="18">
        <f t="shared" si="78"/>
        <v>0.7788271679</v>
      </c>
      <c r="J266" s="16">
        <f t="shared" si="78"/>
        <v>9.724408779</v>
      </c>
      <c r="K266" s="16">
        <f t="shared" si="78"/>
        <v>4.759098916</v>
      </c>
      <c r="L266" s="29">
        <f t="shared" si="78"/>
        <v>43.8</v>
      </c>
      <c r="M266" s="29">
        <f t="shared" si="78"/>
        <v>65.4</v>
      </c>
      <c r="N266" s="29">
        <f t="shared" si="78"/>
        <v>134.8</v>
      </c>
      <c r="O266" s="29">
        <f t="shared" si="78"/>
        <v>387.9</v>
      </c>
      <c r="P266" s="29">
        <f t="shared" si="78"/>
        <v>780.3</v>
      </c>
      <c r="Q266" s="29">
        <f t="shared" si="78"/>
        <v>1200</v>
      </c>
      <c r="R266" s="29">
        <f t="shared" si="78"/>
        <v>0.02290358189</v>
      </c>
      <c r="S266" s="29">
        <f t="shared" si="78"/>
        <v>0.01903685315</v>
      </c>
      <c r="T266" s="29">
        <f t="shared" si="78"/>
        <v>0.02205952434</v>
      </c>
      <c r="U266" s="29">
        <f t="shared" si="78"/>
        <v>0.01973983699</v>
      </c>
      <c r="V266" s="29">
        <f t="shared" si="78"/>
        <v>0.03162491617</v>
      </c>
      <c r="W266" s="29">
        <f t="shared" si="78"/>
        <v>0.02299978931</v>
      </c>
      <c r="X266" s="29">
        <f t="shared" si="78"/>
        <v>2.431918192</v>
      </c>
      <c r="Y266" s="29">
        <f t="shared" si="78"/>
        <v>1.685944985</v>
      </c>
      <c r="AA266" s="14"/>
      <c r="AB266" s="18"/>
      <c r="AC266" s="18"/>
      <c r="AD266" s="18"/>
    </row>
    <row r="267">
      <c r="A267" s="1"/>
      <c r="B267" s="1"/>
      <c r="AA267" s="14" t="s">
        <v>18</v>
      </c>
      <c r="AB267" s="18">
        <v>0.88966530298745</v>
      </c>
      <c r="AC267" s="15">
        <v>0.764394981565952</v>
      </c>
      <c r="AD267" s="15">
        <v>0.761057578850264</v>
      </c>
    </row>
    <row r="268">
      <c r="C268" s="1" t="s">
        <v>34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4" t="s">
        <v>20</v>
      </c>
      <c r="AB268" s="15">
        <v>0.660697073388419</v>
      </c>
      <c r="AC268" s="15">
        <v>0.612996767238804</v>
      </c>
      <c r="AD268" s="15">
        <v>0.480786114729014</v>
      </c>
      <c r="AE268" s="1"/>
      <c r="AF268" s="1"/>
    </row>
    <row r="269">
      <c r="C269" s="20" t="s">
        <v>1</v>
      </c>
      <c r="D269" s="20" t="s">
        <v>2</v>
      </c>
      <c r="E269" s="20" t="s">
        <v>3</v>
      </c>
      <c r="F269" s="20" t="s">
        <v>4</v>
      </c>
      <c r="G269" s="20" t="s">
        <v>5</v>
      </c>
      <c r="H269" s="20" t="s">
        <v>6</v>
      </c>
      <c r="I269" s="20" t="s">
        <v>7</v>
      </c>
      <c r="J269" s="20" t="s">
        <v>8</v>
      </c>
      <c r="K269" s="20" t="s">
        <v>9</v>
      </c>
      <c r="L269" s="20" t="s">
        <v>10</v>
      </c>
      <c r="M269" s="20" t="s">
        <v>11</v>
      </c>
      <c r="N269" s="20" t="s">
        <v>12</v>
      </c>
      <c r="O269" s="20" t="s">
        <v>13</v>
      </c>
      <c r="P269" s="20" t="s">
        <v>14</v>
      </c>
      <c r="Q269" s="20" t="s">
        <v>15</v>
      </c>
      <c r="R269" s="20" t="s">
        <v>2</v>
      </c>
      <c r="S269" s="20" t="s">
        <v>3</v>
      </c>
      <c r="T269" s="20" t="s">
        <v>4</v>
      </c>
      <c r="U269" s="20" t="s">
        <v>5</v>
      </c>
      <c r="V269" s="20" t="s">
        <v>6</v>
      </c>
      <c r="W269" s="20" t="s">
        <v>7</v>
      </c>
      <c r="X269" s="20" t="s">
        <v>8</v>
      </c>
      <c r="Y269" s="20" t="s">
        <v>9</v>
      </c>
      <c r="Z269" s="1"/>
      <c r="AA269" s="1"/>
      <c r="AB269" s="21"/>
      <c r="AC269" s="21"/>
      <c r="AD269" s="21"/>
      <c r="AE269" s="1"/>
      <c r="AF269" s="1"/>
    </row>
    <row r="270">
      <c r="C270" s="14" t="s">
        <v>16</v>
      </c>
      <c r="D270" s="18">
        <v>0.901333333333333</v>
      </c>
      <c r="E270" s="18">
        <v>0.937291724319896</v>
      </c>
      <c r="F270" s="18">
        <v>0.915686809562543</v>
      </c>
      <c r="G270" s="18">
        <v>0.892455693726692</v>
      </c>
      <c r="H270" s="15">
        <v>0.848862534732211</v>
      </c>
      <c r="I270" s="18">
        <v>0.866500058194235</v>
      </c>
      <c r="J270" s="16">
        <v>7.06666666666666</v>
      </c>
      <c r="K270" s="23">
        <v>2.8</v>
      </c>
      <c r="L270" s="17">
        <v>219.6</v>
      </c>
      <c r="M270" s="17">
        <v>80.4</v>
      </c>
      <c r="N270" s="17">
        <f t="shared" ref="N270:N277" si="79">L270+M270</f>
        <v>300</v>
      </c>
      <c r="O270" s="17">
        <v>690.8</v>
      </c>
      <c r="P270" s="17">
        <v>288.8</v>
      </c>
      <c r="Q270" s="17">
        <f t="shared" ref="Q270:Q277" si="80">P270+O270</f>
        <v>979.6</v>
      </c>
      <c r="R270" s="15">
        <v>0.00339934634239517</v>
      </c>
      <c r="S270" s="15">
        <v>0.00399262489457319</v>
      </c>
      <c r="T270" s="15">
        <v>0.00925477403837902</v>
      </c>
      <c r="U270" s="15">
        <v>0.0189380007078557</v>
      </c>
      <c r="V270" s="15">
        <v>0.0100935309759432</v>
      </c>
      <c r="W270" s="15">
        <v>0.00933745743652162</v>
      </c>
      <c r="X270" s="15">
        <v>0.853749898324379</v>
      </c>
      <c r="Y270" s="15">
        <v>1.06666666666666</v>
      </c>
      <c r="Z270" s="1"/>
      <c r="AA270" s="1"/>
      <c r="AB270" s="21"/>
      <c r="AC270" s="21"/>
      <c r="AD270" s="21"/>
      <c r="AE270" s="1"/>
      <c r="AF270" s="1"/>
    </row>
    <row r="271">
      <c r="C271" s="14" t="s">
        <v>20</v>
      </c>
      <c r="D271" s="18">
        <v>0.889353071126263</v>
      </c>
      <c r="E271" s="15">
        <v>0.825129520309474</v>
      </c>
      <c r="F271" s="15">
        <v>0.805030634232914</v>
      </c>
      <c r="G271" s="18">
        <v>0.909581645216201</v>
      </c>
      <c r="H271" s="15">
        <v>0.642869642209544</v>
      </c>
      <c r="I271" s="15">
        <v>0.687425498475075</v>
      </c>
      <c r="J271" s="23">
        <v>0.41563221583708</v>
      </c>
      <c r="K271" s="16">
        <v>10.6490606715365</v>
      </c>
      <c r="L271" s="17">
        <v>36.0</v>
      </c>
      <c r="M271" s="17">
        <v>206.6</v>
      </c>
      <c r="N271" s="17">
        <f t="shared" si="79"/>
        <v>242.6</v>
      </c>
      <c r="O271" s="17">
        <v>200.6</v>
      </c>
      <c r="P271" s="17">
        <v>695.8</v>
      </c>
      <c r="Q271" s="30">
        <f t="shared" si="80"/>
        <v>896.4</v>
      </c>
      <c r="R271" s="15">
        <v>0.0261083519581862</v>
      </c>
      <c r="S271" s="15">
        <v>0.0539495112167341</v>
      </c>
      <c r="T271" s="15">
        <v>0.0534745498489678</v>
      </c>
      <c r="U271" s="15">
        <v>0.0501848279142393</v>
      </c>
      <c r="V271" s="15">
        <v>0.0367799424827983</v>
      </c>
      <c r="W271" s="15">
        <v>0.0514115463593764</v>
      </c>
      <c r="X271" s="15">
        <v>0.642820313131281</v>
      </c>
      <c r="Y271" s="15">
        <v>2.49044042582911</v>
      </c>
      <c r="Z271" s="1"/>
      <c r="AA271" s="1"/>
      <c r="AB271" s="21"/>
      <c r="AC271" s="21"/>
      <c r="AD271" s="21"/>
      <c r="AE271" s="1"/>
      <c r="AF271" s="1"/>
    </row>
    <row r="272">
      <c r="C272" s="14" t="s">
        <v>24</v>
      </c>
      <c r="D272" s="18">
        <v>0.904666666666666</v>
      </c>
      <c r="E272" s="15">
        <v>0.604547235232958</v>
      </c>
      <c r="F272" s="15">
        <v>0.54690613560001</v>
      </c>
      <c r="G272" s="15">
        <v>0.452333333333333</v>
      </c>
      <c r="H272" s="15">
        <v>0.5</v>
      </c>
      <c r="I272" s="15">
        <v>0.474968219731584</v>
      </c>
      <c r="J272" s="23">
        <v>0.0</v>
      </c>
      <c r="K272" s="16">
        <v>9.53333333333333</v>
      </c>
      <c r="L272" s="17">
        <v>28.6</v>
      </c>
      <c r="M272" s="17">
        <v>271.4</v>
      </c>
      <c r="N272" s="17">
        <f t="shared" si="79"/>
        <v>300</v>
      </c>
      <c r="O272" s="30">
        <v>106.2</v>
      </c>
      <c r="P272" s="17">
        <v>925.4</v>
      </c>
      <c r="Q272" s="17">
        <f t="shared" si="80"/>
        <v>1031.6</v>
      </c>
      <c r="R272" s="15">
        <v>0.00618241233033045</v>
      </c>
      <c r="S272" s="15">
        <v>0.098313196030628</v>
      </c>
      <c r="T272" s="15">
        <v>0.0260706063553392</v>
      </c>
      <c r="U272" s="15">
        <v>0.00309120616516522</v>
      </c>
      <c r="V272" s="15">
        <v>0.0</v>
      </c>
      <c r="W272" s="15">
        <v>0.00170335529821126</v>
      </c>
      <c r="X272" s="15">
        <v>0.0</v>
      </c>
      <c r="Y272" s="15">
        <v>0.618241233033046</v>
      </c>
      <c r="Z272" s="1"/>
      <c r="AA272" s="1"/>
      <c r="AB272" s="21"/>
      <c r="AC272" s="21"/>
      <c r="AD272" s="21"/>
      <c r="AE272" s="20" t="s">
        <v>1</v>
      </c>
      <c r="AF272" s="1"/>
    </row>
    <row r="273">
      <c r="A273" s="1"/>
      <c r="B273" s="1"/>
      <c r="C273" s="14" t="s">
        <v>25</v>
      </c>
      <c r="D273" s="18">
        <v>0.901333333333333</v>
      </c>
      <c r="E273" s="22">
        <v>0.950688217469243</v>
      </c>
      <c r="F273" s="18">
        <v>0.944279188990146</v>
      </c>
      <c r="G273" s="18">
        <v>0.901893713443941</v>
      </c>
      <c r="H273" s="18">
        <v>0.901435563640503</v>
      </c>
      <c r="I273" s="18">
        <v>0.90120838701312</v>
      </c>
      <c r="J273" s="16">
        <v>5.8</v>
      </c>
      <c r="K273" s="16">
        <v>4.06666666666666</v>
      </c>
      <c r="L273" s="17">
        <v>148.8</v>
      </c>
      <c r="M273" s="17">
        <v>151.2</v>
      </c>
      <c r="N273" s="17">
        <f t="shared" si="79"/>
        <v>300</v>
      </c>
      <c r="O273" s="17">
        <v>496.8</v>
      </c>
      <c r="P273" s="17">
        <v>532.8</v>
      </c>
      <c r="Q273" s="17">
        <f t="shared" si="80"/>
        <v>1029.6</v>
      </c>
      <c r="R273" s="15">
        <v>0.0134329611197398</v>
      </c>
      <c r="S273" s="15">
        <v>0.0150484311308959</v>
      </c>
      <c r="T273" s="15">
        <v>0.0198907308248169</v>
      </c>
      <c r="U273" s="15">
        <v>0.013200536215953</v>
      </c>
      <c r="V273" s="15">
        <v>0.0128025292691356</v>
      </c>
      <c r="W273" s="15">
        <v>0.0134240895241797</v>
      </c>
      <c r="X273" s="15">
        <v>1.32664991614215</v>
      </c>
      <c r="Y273" s="15">
        <v>0.442216638714053</v>
      </c>
      <c r="Z273" s="1"/>
      <c r="AA273" s="1"/>
      <c r="AB273" s="21"/>
      <c r="AC273" s="21"/>
      <c r="AD273" s="21"/>
      <c r="AE273" s="14" t="s">
        <v>19</v>
      </c>
      <c r="AF273" s="1"/>
    </row>
    <row r="274">
      <c r="A274" s="1"/>
      <c r="B274" s="1"/>
      <c r="C274" s="14" t="s">
        <v>26</v>
      </c>
      <c r="D274" s="18">
        <v>0.86092448538669</v>
      </c>
      <c r="E274" s="15">
        <v>0.718658205849445</v>
      </c>
      <c r="F274" s="15">
        <v>0.729096698029014</v>
      </c>
      <c r="G274" s="18">
        <v>0.892751400113659</v>
      </c>
      <c r="H274" s="15">
        <v>0.610184699755367</v>
      </c>
      <c r="I274" s="15">
        <v>0.640999817024733</v>
      </c>
      <c r="J274" s="23">
        <v>0.290887000437482</v>
      </c>
      <c r="K274" s="16">
        <v>13.6166644608934</v>
      </c>
      <c r="L274" s="17">
        <v>36.6</v>
      </c>
      <c r="M274" s="17">
        <v>171.6</v>
      </c>
      <c r="N274" s="17">
        <f t="shared" si="79"/>
        <v>208.2</v>
      </c>
      <c r="O274" s="17">
        <v>477.4</v>
      </c>
      <c r="P274" s="17">
        <v>397.2</v>
      </c>
      <c r="Q274" s="30">
        <f t="shared" si="80"/>
        <v>874.6</v>
      </c>
      <c r="R274" s="15">
        <v>0.0161032456018364</v>
      </c>
      <c r="S274" s="15">
        <v>0.122243018516295</v>
      </c>
      <c r="T274" s="15">
        <v>0.0696192482299296</v>
      </c>
      <c r="U274" s="15">
        <v>0.0218710003163697</v>
      </c>
      <c r="V274" s="15">
        <v>0.00734882647222047</v>
      </c>
      <c r="W274" s="15">
        <v>0.00864153273322597</v>
      </c>
      <c r="X274" s="15">
        <v>0.238602421990795</v>
      </c>
      <c r="Y274" s="15">
        <v>1.81140955932803</v>
      </c>
      <c r="Z274" s="1"/>
      <c r="AA274" s="1"/>
      <c r="AB274" s="21"/>
      <c r="AC274" s="21"/>
      <c r="AD274" s="34"/>
      <c r="AE274" s="14" t="s">
        <v>20</v>
      </c>
      <c r="AF274" s="1"/>
    </row>
    <row r="275">
      <c r="A275" s="1"/>
      <c r="B275" s="1"/>
      <c r="C275" s="33" t="s">
        <v>27</v>
      </c>
      <c r="D275" s="18">
        <v>0.855261779046374</v>
      </c>
      <c r="E275" s="18">
        <v>0.903001930760244</v>
      </c>
      <c r="F275" s="18">
        <v>0.903192484143824</v>
      </c>
      <c r="G275" s="18">
        <v>0.864161701769362</v>
      </c>
      <c r="H275" s="15">
        <v>0.814593251406166</v>
      </c>
      <c r="I275" s="15">
        <v>0.82722013841606</v>
      </c>
      <c r="J275" s="16">
        <v>4.0241963268992</v>
      </c>
      <c r="K275" s="16">
        <v>10.4496257684633</v>
      </c>
      <c r="L275" s="17">
        <v>68.8</v>
      </c>
      <c r="M275" s="17">
        <v>136.8</v>
      </c>
      <c r="N275" s="17">
        <f t="shared" si="79"/>
        <v>205.6</v>
      </c>
      <c r="O275" s="17">
        <v>223.4</v>
      </c>
      <c r="P275" s="17">
        <v>573.8</v>
      </c>
      <c r="Q275" s="30">
        <f t="shared" si="80"/>
        <v>797.2</v>
      </c>
      <c r="R275" s="15">
        <v>0.0184742068960895</v>
      </c>
      <c r="S275" s="15">
        <v>0.0289510952404612</v>
      </c>
      <c r="T275" s="15">
        <v>0.0261785711385981</v>
      </c>
      <c r="U275" s="15">
        <v>0.0279094948396153</v>
      </c>
      <c r="V275" s="15">
        <v>0.0319354299979095</v>
      </c>
      <c r="W275" s="15">
        <v>0.0266188679144796</v>
      </c>
      <c r="X275" s="15">
        <v>3.21029986335729</v>
      </c>
      <c r="Y275" s="15">
        <v>3.56446379318621</v>
      </c>
      <c r="Z275" s="1"/>
      <c r="AA275" s="1"/>
      <c r="AB275" s="21"/>
      <c r="AC275" s="21"/>
      <c r="AD275" s="21"/>
      <c r="AE275" s="14" t="s">
        <v>21</v>
      </c>
      <c r="AF275" s="1"/>
    </row>
    <row r="276">
      <c r="A276" s="1"/>
      <c r="B276" s="1"/>
      <c r="C276" s="14" t="s">
        <v>28</v>
      </c>
      <c r="D276" s="18">
        <v>0.89215156047305</v>
      </c>
      <c r="E276" s="18">
        <v>0.943147097840565</v>
      </c>
      <c r="F276" s="18">
        <v>0.932168038184699</v>
      </c>
      <c r="G276" s="18">
        <v>0.875440358247228</v>
      </c>
      <c r="H276" s="18">
        <v>0.884358875777292</v>
      </c>
      <c r="I276" s="18">
        <v>0.879101558116647</v>
      </c>
      <c r="J276" s="16">
        <v>6.2521062915687</v>
      </c>
      <c r="K276" s="16">
        <v>4.53273766112623</v>
      </c>
      <c r="L276" s="17">
        <v>79.2</v>
      </c>
      <c r="M276" s="17">
        <v>163.6</v>
      </c>
      <c r="N276" s="17">
        <f t="shared" si="79"/>
        <v>242.8</v>
      </c>
      <c r="O276" s="17">
        <v>241.8</v>
      </c>
      <c r="P276" s="17">
        <v>662.4</v>
      </c>
      <c r="Q276" s="17">
        <f t="shared" si="80"/>
        <v>904.2</v>
      </c>
      <c r="R276" s="15">
        <v>0.0193937770673117</v>
      </c>
      <c r="S276" s="15">
        <v>0.0217474076981302</v>
      </c>
      <c r="T276" s="15">
        <v>0.0185614560158193</v>
      </c>
      <c r="U276" s="15">
        <v>0.0183473823362622</v>
      </c>
      <c r="V276" s="15">
        <v>0.0207697173182734</v>
      </c>
      <c r="W276" s="15">
        <v>0.0187334757343668</v>
      </c>
      <c r="X276" s="15">
        <v>1.39941439184904</v>
      </c>
      <c r="Y276" s="15">
        <v>1.36365509838609</v>
      </c>
      <c r="Z276" s="1"/>
      <c r="AA276" s="1"/>
      <c r="AB276" s="21"/>
      <c r="AC276" s="21"/>
      <c r="AD276" s="34"/>
      <c r="AE276" s="14" t="s">
        <v>24</v>
      </c>
      <c r="AF276" s="1"/>
    </row>
    <row r="277">
      <c r="A277" s="1"/>
      <c r="B277" s="1"/>
      <c r="C277" s="14" t="s">
        <v>29</v>
      </c>
      <c r="D277" s="22">
        <v>0.956255850401443</v>
      </c>
      <c r="E277" s="22">
        <v>0.963972580678861</v>
      </c>
      <c r="F277" s="22">
        <v>0.952949192048156</v>
      </c>
      <c r="G277" s="22">
        <v>0.957611339357666</v>
      </c>
      <c r="H277" s="18">
        <v>0.94932661733605</v>
      </c>
      <c r="I277" s="22">
        <v>0.953051291501414</v>
      </c>
      <c r="J277" s="23">
        <v>1.32231906574365</v>
      </c>
      <c r="K277" s="16">
        <v>3.05209589411202</v>
      </c>
      <c r="L277" s="17">
        <v>91.8</v>
      </c>
      <c r="M277" s="17">
        <v>150.8</v>
      </c>
      <c r="N277" s="17">
        <f t="shared" si="79"/>
        <v>242.6</v>
      </c>
      <c r="O277" s="17">
        <v>303.2</v>
      </c>
      <c r="P277" s="17">
        <v>550.8</v>
      </c>
      <c r="Q277" s="30">
        <f t="shared" si="80"/>
        <v>854</v>
      </c>
      <c r="R277" s="15">
        <v>0.00840616324623986</v>
      </c>
      <c r="S277" s="15">
        <v>0.0160904511645467</v>
      </c>
      <c r="T277" s="15">
        <v>0.029134741421246</v>
      </c>
      <c r="U277" s="15">
        <v>0.0095990812668127</v>
      </c>
      <c r="V277" s="15">
        <v>0.00860973309415331</v>
      </c>
      <c r="W277" s="15">
        <v>0.00892998692201259</v>
      </c>
      <c r="X277" s="15">
        <v>0.619844987541004</v>
      </c>
      <c r="Y277" s="15">
        <v>0.569611973725449</v>
      </c>
      <c r="Z277" s="1"/>
      <c r="AA277" s="1"/>
      <c r="AB277" s="21"/>
      <c r="AC277" s="21"/>
      <c r="AD277" s="34"/>
      <c r="AE277" s="14" t="s">
        <v>26</v>
      </c>
      <c r="AF277" s="1"/>
    </row>
    <row r="278">
      <c r="A278" s="1"/>
      <c r="B278" s="1"/>
      <c r="C278" s="14" t="s">
        <v>31</v>
      </c>
      <c r="D278" s="18">
        <f t="shared" ref="D278:Y278" si="81">MEDIAN(D270:D277)</f>
        <v>0.8967424469</v>
      </c>
      <c r="E278" s="18">
        <f t="shared" si="81"/>
        <v>0.9201468275</v>
      </c>
      <c r="F278" s="18">
        <f t="shared" si="81"/>
        <v>0.9094396469</v>
      </c>
      <c r="G278" s="18">
        <f t="shared" si="81"/>
        <v>0.8926035469</v>
      </c>
      <c r="H278" s="18">
        <f t="shared" si="81"/>
        <v>0.8317278931</v>
      </c>
      <c r="I278" s="18">
        <f t="shared" si="81"/>
        <v>0.8468600983</v>
      </c>
      <c r="J278" s="16">
        <f t="shared" si="81"/>
        <v>2.673257696</v>
      </c>
      <c r="K278" s="16">
        <f t="shared" si="81"/>
        <v>7.033035497</v>
      </c>
      <c r="L278" s="24">
        <f t="shared" si="81"/>
        <v>74</v>
      </c>
      <c r="M278" s="24">
        <f t="shared" si="81"/>
        <v>157.4</v>
      </c>
      <c r="N278" s="24">
        <f t="shared" si="81"/>
        <v>242.7</v>
      </c>
      <c r="O278" s="24">
        <f t="shared" si="81"/>
        <v>272.5</v>
      </c>
      <c r="P278" s="24">
        <f t="shared" si="81"/>
        <v>562.3</v>
      </c>
      <c r="Q278" s="24">
        <f t="shared" si="81"/>
        <v>900.3</v>
      </c>
      <c r="R278" s="19">
        <f t="shared" si="81"/>
        <v>0.01476810336</v>
      </c>
      <c r="S278" s="19">
        <f t="shared" si="81"/>
        <v>0.02534925147</v>
      </c>
      <c r="T278" s="19">
        <f t="shared" si="81"/>
        <v>0.02612458875</v>
      </c>
      <c r="U278" s="19">
        <f t="shared" si="81"/>
        <v>0.01864269152</v>
      </c>
      <c r="V278" s="19">
        <f t="shared" si="81"/>
        <v>0.01144803012</v>
      </c>
      <c r="W278" s="19">
        <f t="shared" si="81"/>
        <v>0.01138077348</v>
      </c>
      <c r="X278" s="19">
        <f t="shared" si="81"/>
        <v>0.7482851057</v>
      </c>
      <c r="Y278" s="19">
        <f t="shared" si="81"/>
        <v>1.215160883</v>
      </c>
      <c r="AA278" s="14"/>
      <c r="AB278" s="15"/>
      <c r="AC278" s="18"/>
      <c r="AD278" s="15"/>
    </row>
    <row r="279">
      <c r="A279" s="1"/>
      <c r="B279" s="1"/>
      <c r="AA279" s="14"/>
      <c r="AB279" s="15"/>
      <c r="AC279" s="18"/>
      <c r="AD279" s="15"/>
    </row>
    <row r="280">
      <c r="C280" s="1" t="s">
        <v>48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4" t="s">
        <v>28</v>
      </c>
      <c r="AB280" s="15">
        <v>0.706410584212106</v>
      </c>
      <c r="AC280" s="15">
        <v>0.758368946896793</v>
      </c>
      <c r="AD280" s="15">
        <v>0.666899018264724</v>
      </c>
      <c r="AE280" s="1"/>
      <c r="AF280" s="1"/>
    </row>
    <row r="281">
      <c r="C281" s="20" t="s">
        <v>1</v>
      </c>
      <c r="D281" s="20" t="s">
        <v>2</v>
      </c>
      <c r="E281" s="20" t="s">
        <v>3</v>
      </c>
      <c r="F281" s="20" t="s">
        <v>4</v>
      </c>
      <c r="G281" s="20" t="s">
        <v>5</v>
      </c>
      <c r="H281" s="20" t="s">
        <v>6</v>
      </c>
      <c r="I281" s="20" t="s">
        <v>7</v>
      </c>
      <c r="J281" s="20" t="s">
        <v>8</v>
      </c>
      <c r="K281" s="20" t="s">
        <v>9</v>
      </c>
      <c r="L281" s="20" t="s">
        <v>10</v>
      </c>
      <c r="M281" s="20" t="s">
        <v>11</v>
      </c>
      <c r="N281" s="20" t="s">
        <v>12</v>
      </c>
      <c r="O281" s="20" t="s">
        <v>13</v>
      </c>
      <c r="P281" s="20" t="s">
        <v>14</v>
      </c>
      <c r="Q281" s="20" t="s">
        <v>15</v>
      </c>
      <c r="R281" s="20" t="s">
        <v>2</v>
      </c>
      <c r="S281" s="20" t="s">
        <v>3</v>
      </c>
      <c r="T281" s="20" t="s">
        <v>4</v>
      </c>
      <c r="U281" s="20" t="s">
        <v>5</v>
      </c>
      <c r="V281" s="20" t="s">
        <v>6</v>
      </c>
      <c r="W281" s="20" t="s">
        <v>7</v>
      </c>
      <c r="X281" s="20" t="s">
        <v>8</v>
      </c>
      <c r="Y281" s="20" t="s">
        <v>9</v>
      </c>
      <c r="Z281" s="1"/>
      <c r="AA281" s="1"/>
      <c r="AB281" s="1"/>
      <c r="AC281" s="1"/>
      <c r="AD281" s="1"/>
      <c r="AE281" s="1"/>
      <c r="AF281" s="1"/>
    </row>
    <row r="282">
      <c r="C282" s="14" t="s">
        <v>16</v>
      </c>
      <c r="D282" s="18">
        <v>0.910666666666666</v>
      </c>
      <c r="E282" s="18">
        <v>0.941257213407953</v>
      </c>
      <c r="F282" s="18">
        <v>0.929664981305287</v>
      </c>
      <c r="G282" s="18">
        <v>0.916044491109081</v>
      </c>
      <c r="H282" s="18">
        <v>0.853659901735811</v>
      </c>
      <c r="I282" s="18">
        <v>0.877960563276641</v>
      </c>
      <c r="J282" s="16">
        <v>7.33333333333333</v>
      </c>
      <c r="K282" s="23">
        <v>1.6</v>
      </c>
      <c r="L282" s="17">
        <v>218.6</v>
      </c>
      <c r="M282" s="17">
        <v>81.4</v>
      </c>
      <c r="N282" s="17">
        <f t="shared" ref="N282:N289" si="82">L282+M282</f>
        <v>300</v>
      </c>
      <c r="O282" s="17">
        <v>690.8</v>
      </c>
      <c r="P282" s="17">
        <v>288.8</v>
      </c>
      <c r="Q282" s="17">
        <f t="shared" ref="Q282:Q289" si="83">P282+O282</f>
        <v>979.6</v>
      </c>
      <c r="R282" s="15">
        <v>0.0140475383371369</v>
      </c>
      <c r="S282" s="15">
        <v>0.0135608955913597</v>
      </c>
      <c r="T282" s="15">
        <v>0.0162473297523504</v>
      </c>
      <c r="U282" s="15">
        <v>0.0125166035251536</v>
      </c>
      <c r="V282" s="15">
        <v>0.0219496652245301</v>
      </c>
      <c r="W282" s="15">
        <v>0.0185097954655103</v>
      </c>
      <c r="X282" s="15">
        <v>1.33333333333333</v>
      </c>
      <c r="Y282" s="15">
        <v>0.388730126323019</v>
      </c>
      <c r="Z282" s="1"/>
      <c r="AA282" s="4"/>
      <c r="AB282" s="14" t="s">
        <v>16</v>
      </c>
      <c r="AC282" s="4"/>
      <c r="AD282" s="4"/>
      <c r="AE282" s="4"/>
      <c r="AF282" s="4"/>
    </row>
    <row r="283">
      <c r="A283" s="1"/>
      <c r="B283" s="1"/>
      <c r="C283" s="14" t="s">
        <v>20</v>
      </c>
      <c r="D283" s="15">
        <v>0.660697073388419</v>
      </c>
      <c r="E283" s="15">
        <v>0.612996767238804</v>
      </c>
      <c r="F283" s="15">
        <v>0.601549903518185</v>
      </c>
      <c r="G283" s="15">
        <v>0.67309786626208</v>
      </c>
      <c r="H283" s="15">
        <v>0.535971814533165</v>
      </c>
      <c r="I283" s="15">
        <v>0.480786114729014</v>
      </c>
      <c r="J283" s="23">
        <v>2.12566376897755</v>
      </c>
      <c r="K283" s="16">
        <v>31.8046288921805</v>
      </c>
      <c r="L283" s="17">
        <v>99.2</v>
      </c>
      <c r="M283" s="17">
        <v>180.4</v>
      </c>
      <c r="N283" s="17">
        <f t="shared" si="82"/>
        <v>279.6</v>
      </c>
      <c r="O283" s="17">
        <v>200.6</v>
      </c>
      <c r="P283" s="17">
        <v>695.8</v>
      </c>
      <c r="Q283" s="30">
        <f t="shared" si="83"/>
        <v>896.4</v>
      </c>
      <c r="R283" s="15">
        <v>0.0325557706581372</v>
      </c>
      <c r="S283" s="15">
        <v>0.0331517903606329</v>
      </c>
      <c r="T283" s="15">
        <v>0.0259700716387624</v>
      </c>
      <c r="U283" s="15">
        <v>0.0707442983173203</v>
      </c>
      <c r="V283" s="15">
        <v>0.0191104053401322</v>
      </c>
      <c r="W283" s="15">
        <v>0.0399098616238604</v>
      </c>
      <c r="X283" s="15">
        <v>1.75526614454958</v>
      </c>
      <c r="Y283" s="15">
        <v>3.59561239813084</v>
      </c>
      <c r="Z283" s="1"/>
      <c r="AA283" s="4"/>
      <c r="AB283" s="14" t="s">
        <v>20</v>
      </c>
      <c r="AC283" s="4"/>
      <c r="AD283" s="4"/>
      <c r="AE283" s="4"/>
      <c r="AF283" s="4"/>
    </row>
    <row r="284">
      <c r="A284" s="1"/>
      <c r="B284" s="1"/>
      <c r="C284" s="14" t="s">
        <v>24</v>
      </c>
      <c r="D284" s="18">
        <v>0.902666666666666</v>
      </c>
      <c r="E284" s="15">
        <v>0.349204972727713</v>
      </c>
      <c r="F284" s="15">
        <v>0.475391050840929</v>
      </c>
      <c r="G284" s="15">
        <v>0.451333333333333</v>
      </c>
      <c r="H284" s="15">
        <v>0.5</v>
      </c>
      <c r="I284" s="15">
        <v>0.474404845510945</v>
      </c>
      <c r="J284" s="23">
        <v>0.0</v>
      </c>
      <c r="K284" s="16">
        <v>9.73333333333333</v>
      </c>
      <c r="L284" s="17">
        <v>29.2</v>
      </c>
      <c r="M284" s="17">
        <v>270.8</v>
      </c>
      <c r="N284" s="17">
        <f t="shared" si="82"/>
        <v>300</v>
      </c>
      <c r="O284" s="30">
        <v>106.2</v>
      </c>
      <c r="P284" s="17">
        <v>925.4</v>
      </c>
      <c r="Q284" s="17">
        <f t="shared" si="83"/>
        <v>1031.6</v>
      </c>
      <c r="R284" s="15">
        <v>0.0108320512061812</v>
      </c>
      <c r="S284" s="15">
        <v>0.179961096566737</v>
      </c>
      <c r="T284" s="15">
        <v>0.0485442026043483</v>
      </c>
      <c r="U284" s="15">
        <v>0.00541602560309065</v>
      </c>
      <c r="V284" s="15">
        <v>0.0</v>
      </c>
      <c r="W284" s="15">
        <v>0.00298939293961746</v>
      </c>
      <c r="X284" s="15">
        <v>0.0</v>
      </c>
      <c r="Y284" s="15">
        <v>1.08320512061812</v>
      </c>
      <c r="Z284" s="1"/>
      <c r="AA284" s="4"/>
      <c r="AB284" s="14" t="s">
        <v>24</v>
      </c>
      <c r="AC284" s="4"/>
      <c r="AD284" s="4"/>
      <c r="AE284" s="4"/>
      <c r="AF284" s="4"/>
    </row>
    <row r="285">
      <c r="A285" s="1"/>
      <c r="B285" s="1"/>
      <c r="C285" s="14" t="s">
        <v>25</v>
      </c>
      <c r="D285" s="18">
        <v>0.880666666666666</v>
      </c>
      <c r="E285" s="18">
        <v>0.940905806203966</v>
      </c>
      <c r="F285" s="18">
        <v>0.927191013129451</v>
      </c>
      <c r="G285" s="18">
        <v>0.879672069234217</v>
      </c>
      <c r="H285" s="18">
        <v>0.880040752731456</v>
      </c>
      <c r="I285" s="18">
        <v>0.879429057638597</v>
      </c>
      <c r="J285" s="16">
        <v>6.46666666666666</v>
      </c>
      <c r="K285" s="16">
        <v>5.46666666666666</v>
      </c>
      <c r="L285" s="17">
        <v>134.0</v>
      </c>
      <c r="M285" s="17">
        <v>166.0</v>
      </c>
      <c r="N285" s="17">
        <f t="shared" si="82"/>
        <v>300</v>
      </c>
      <c r="O285" s="17">
        <v>496.8</v>
      </c>
      <c r="P285" s="17">
        <v>532.8</v>
      </c>
      <c r="Q285" s="17">
        <f t="shared" si="83"/>
        <v>1029.6</v>
      </c>
      <c r="R285" s="15">
        <v>0.0271129325435503</v>
      </c>
      <c r="S285" s="15">
        <v>0.00897615720174993</v>
      </c>
      <c r="T285" s="15">
        <v>0.00744563410640037</v>
      </c>
      <c r="U285" s="15">
        <v>0.0269965219247948</v>
      </c>
      <c r="V285" s="15">
        <v>0.0264200182589419</v>
      </c>
      <c r="W285" s="15">
        <v>0.0267035842121742</v>
      </c>
      <c r="X285" s="15">
        <v>1.89267594221045</v>
      </c>
      <c r="Y285" s="15">
        <v>1.40791413879619</v>
      </c>
      <c r="Z285" s="1"/>
      <c r="AA285" s="4"/>
      <c r="AB285" s="14" t="s">
        <v>25</v>
      </c>
      <c r="AC285" s="4"/>
      <c r="AD285" s="4"/>
      <c r="AE285" s="4"/>
      <c r="AF285" s="4"/>
    </row>
    <row r="286">
      <c r="A286" s="1"/>
      <c r="B286" s="1"/>
      <c r="C286" s="14" t="s">
        <v>26</v>
      </c>
      <c r="D286" s="15">
        <v>0.366666666666666</v>
      </c>
      <c r="E286" s="15">
        <v>0.65295638543102</v>
      </c>
      <c r="F286" s="15">
        <v>0.625434718518347</v>
      </c>
      <c r="G286" s="15">
        <v>0.621179538544491</v>
      </c>
      <c r="H286" s="15">
        <v>0.55939031078892</v>
      </c>
      <c r="I286" s="15">
        <v>0.338597521940477</v>
      </c>
      <c r="J286" s="23">
        <v>0.333333333333333</v>
      </c>
      <c r="K286" s="16">
        <v>63.0</v>
      </c>
      <c r="L286" s="17">
        <v>217.0</v>
      </c>
      <c r="M286" s="17">
        <v>83.0</v>
      </c>
      <c r="N286" s="17">
        <f t="shared" si="82"/>
        <v>300</v>
      </c>
      <c r="O286" s="17">
        <v>477.4</v>
      </c>
      <c r="P286" s="17">
        <v>397.2</v>
      </c>
      <c r="Q286" s="30">
        <f t="shared" si="83"/>
        <v>874.6</v>
      </c>
      <c r="R286" s="15">
        <v>0.093404734593298</v>
      </c>
      <c r="S286" s="15">
        <v>0.177711311715855</v>
      </c>
      <c r="T286" s="15">
        <v>0.116910888525669</v>
      </c>
      <c r="U286" s="15">
        <v>0.0587935715592728</v>
      </c>
      <c r="V286" s="15">
        <v>0.0540922232703749</v>
      </c>
      <c r="W286" s="15">
        <v>0.110421909860411</v>
      </c>
      <c r="X286" s="15">
        <v>0.298142396999971</v>
      </c>
      <c r="Y286" s="15">
        <v>9.56149686096388</v>
      </c>
      <c r="Z286" s="1"/>
      <c r="AA286" s="4"/>
      <c r="AB286" s="14" t="s">
        <v>26</v>
      </c>
      <c r="AC286" s="4"/>
      <c r="AD286" s="4"/>
      <c r="AE286" s="4"/>
      <c r="AF286" s="4"/>
    </row>
    <row r="287">
      <c r="A287" s="1"/>
      <c r="B287" s="1"/>
      <c r="C287" s="33" t="s">
        <v>27</v>
      </c>
      <c r="D287" s="15">
        <v>0.849333333333333</v>
      </c>
      <c r="E287" s="18">
        <v>0.87113789919548</v>
      </c>
      <c r="F287" s="15">
        <v>0.806177234737171</v>
      </c>
      <c r="G287" s="15">
        <v>0.794015850425458</v>
      </c>
      <c r="H287" s="15">
        <v>0.6843631719491</v>
      </c>
      <c r="I287" s="15">
        <v>0.712091334966834</v>
      </c>
      <c r="J287" s="16">
        <v>3.53333333333333</v>
      </c>
      <c r="K287" s="16">
        <v>11.5333333333333</v>
      </c>
      <c r="L287" s="17">
        <v>58.6</v>
      </c>
      <c r="M287" s="17">
        <v>241.4</v>
      </c>
      <c r="N287" s="17">
        <f t="shared" si="82"/>
        <v>300</v>
      </c>
      <c r="O287" s="17">
        <v>223.4</v>
      </c>
      <c r="P287" s="17">
        <v>573.8</v>
      </c>
      <c r="Q287" s="30">
        <f t="shared" si="83"/>
        <v>797.2</v>
      </c>
      <c r="R287" s="15">
        <v>0.0038873012632302</v>
      </c>
      <c r="S287" s="15">
        <v>0.0290700536810935</v>
      </c>
      <c r="T287" s="15">
        <v>0.0241193180243346</v>
      </c>
      <c r="U287" s="15">
        <v>0.0413788730116971</v>
      </c>
      <c r="V287" s="15">
        <v>0.0213240742452655</v>
      </c>
      <c r="W287" s="15">
        <v>0.0114429960740915</v>
      </c>
      <c r="X287" s="15">
        <v>2.07203603572267</v>
      </c>
      <c r="Y287" s="15">
        <v>1.77137736741152</v>
      </c>
      <c r="Z287" s="1"/>
      <c r="AA287" s="4"/>
      <c r="AB287" s="14" t="s">
        <v>27</v>
      </c>
      <c r="AC287" s="4"/>
      <c r="AD287" s="4"/>
      <c r="AE287" s="4"/>
      <c r="AF287" s="4"/>
    </row>
    <row r="288">
      <c r="A288" s="1"/>
      <c r="B288" s="1"/>
      <c r="C288" s="14" t="s">
        <v>28</v>
      </c>
      <c r="D288" s="15">
        <v>0.845333333333333</v>
      </c>
      <c r="E288" s="15">
        <v>0.789705248352475</v>
      </c>
      <c r="F288" s="15">
        <v>0.700778201626608</v>
      </c>
      <c r="G288" s="15">
        <v>0.701383459675453</v>
      </c>
      <c r="H288" s="15">
        <v>0.704504871022376</v>
      </c>
      <c r="I288" s="15">
        <v>0.702122459166111</v>
      </c>
      <c r="J288" s="16">
        <v>8.06666666666666</v>
      </c>
      <c r="K288" s="16">
        <v>7.4</v>
      </c>
      <c r="L288" s="17">
        <v>45.0</v>
      </c>
      <c r="M288" s="17">
        <v>255.0</v>
      </c>
      <c r="N288" s="17">
        <f t="shared" si="82"/>
        <v>300</v>
      </c>
      <c r="O288" s="17">
        <v>241.8</v>
      </c>
      <c r="P288" s="17">
        <v>662.4</v>
      </c>
      <c r="Q288" s="17">
        <f t="shared" si="83"/>
        <v>904.2</v>
      </c>
      <c r="R288" s="15">
        <v>0.0281740621454872</v>
      </c>
      <c r="S288" s="15">
        <v>0.0401354795032159</v>
      </c>
      <c r="T288" s="15">
        <v>0.0503465865305742</v>
      </c>
      <c r="U288" s="15">
        <v>0.0413340374954544</v>
      </c>
      <c r="V288" s="15">
        <v>0.0305145346377517</v>
      </c>
      <c r="W288" s="15">
        <v>0.0359861513237353</v>
      </c>
      <c r="X288" s="15">
        <v>2.19494368442057</v>
      </c>
      <c r="Y288" s="15">
        <v>0.879393730551528</v>
      </c>
      <c r="Z288" s="1"/>
      <c r="AA288" s="4"/>
      <c r="AB288" s="14" t="s">
        <v>28</v>
      </c>
      <c r="AC288" s="4"/>
      <c r="AD288" s="4"/>
      <c r="AE288" s="4"/>
      <c r="AF288" s="4"/>
    </row>
    <row r="289">
      <c r="A289" s="1"/>
      <c r="B289" s="1"/>
      <c r="C289" s="14" t="s">
        <v>29</v>
      </c>
      <c r="D289" s="18">
        <v>0.898</v>
      </c>
      <c r="E289" s="18">
        <v>0.929348410263066</v>
      </c>
      <c r="F289" s="18">
        <v>0.905521690382604</v>
      </c>
      <c r="G289" s="18">
        <v>0.884353362093246</v>
      </c>
      <c r="H289" s="18">
        <v>0.896874590514512</v>
      </c>
      <c r="I289" s="18">
        <v>0.889576251953583</v>
      </c>
      <c r="J289" s="16">
        <v>6.53333333333333</v>
      </c>
      <c r="K289" s="16">
        <v>3.66666666666666</v>
      </c>
      <c r="L289" s="17">
        <v>104.6</v>
      </c>
      <c r="M289" s="17">
        <v>195.4</v>
      </c>
      <c r="N289" s="17">
        <f t="shared" si="82"/>
        <v>300</v>
      </c>
      <c r="O289" s="17">
        <v>303.2</v>
      </c>
      <c r="P289" s="17">
        <v>550.8</v>
      </c>
      <c r="Q289" s="30">
        <f t="shared" si="83"/>
        <v>854</v>
      </c>
      <c r="R289" s="15">
        <v>0.00956846672960485</v>
      </c>
      <c r="S289" s="15">
        <v>0.0109068397048593</v>
      </c>
      <c r="T289" s="15">
        <v>0.015960255416422</v>
      </c>
      <c r="U289" s="15">
        <v>0.0109470309055535</v>
      </c>
      <c r="V289" s="15">
        <v>0.00996908163603563</v>
      </c>
      <c r="W289" s="15">
        <v>0.010309972365903</v>
      </c>
      <c r="X289" s="15">
        <v>0.90921211313239</v>
      </c>
      <c r="Y289" s="15">
        <v>0.632455532033676</v>
      </c>
      <c r="Z289" s="1"/>
      <c r="AA289" s="4"/>
      <c r="AB289" s="14" t="s">
        <v>29</v>
      </c>
      <c r="AC289" s="4"/>
      <c r="AD289" s="4"/>
      <c r="AE289" s="4"/>
      <c r="AF289" s="4"/>
    </row>
    <row r="290">
      <c r="A290" s="1"/>
      <c r="B290" s="1"/>
      <c r="C290" s="14" t="s">
        <v>31</v>
      </c>
      <c r="D290" s="18">
        <f t="shared" ref="D290:Y290" si="84">MEDIAN(D282:D289)</f>
        <v>0.865</v>
      </c>
      <c r="E290" s="18">
        <f t="shared" si="84"/>
        <v>0.8304215738</v>
      </c>
      <c r="F290" s="18">
        <f t="shared" si="84"/>
        <v>0.7534777182</v>
      </c>
      <c r="G290" s="18">
        <f t="shared" si="84"/>
        <v>0.7476996551</v>
      </c>
      <c r="H290" s="18">
        <f t="shared" si="84"/>
        <v>0.6944340215</v>
      </c>
      <c r="I290" s="18">
        <f t="shared" si="84"/>
        <v>0.7071068971</v>
      </c>
      <c r="J290" s="16">
        <f t="shared" si="84"/>
        <v>5</v>
      </c>
      <c r="K290" s="16">
        <f t="shared" si="84"/>
        <v>8.566666667</v>
      </c>
      <c r="L290" s="24">
        <f t="shared" si="84"/>
        <v>101.9</v>
      </c>
      <c r="M290" s="24">
        <f t="shared" si="84"/>
        <v>187.9</v>
      </c>
      <c r="N290" s="24">
        <f t="shared" si="84"/>
        <v>300</v>
      </c>
      <c r="O290" s="24">
        <f t="shared" si="84"/>
        <v>272.5</v>
      </c>
      <c r="P290" s="24">
        <f t="shared" si="84"/>
        <v>562.3</v>
      </c>
      <c r="Q290" s="24">
        <f t="shared" si="84"/>
        <v>900.3</v>
      </c>
      <c r="R290" s="19">
        <f t="shared" si="84"/>
        <v>0.02058023544</v>
      </c>
      <c r="S290" s="19">
        <f t="shared" si="84"/>
        <v>0.03111092202</v>
      </c>
      <c r="T290" s="19">
        <f t="shared" si="84"/>
        <v>0.02504469483</v>
      </c>
      <c r="U290" s="19">
        <f t="shared" si="84"/>
        <v>0.03416527971</v>
      </c>
      <c r="V290" s="19">
        <f t="shared" si="84"/>
        <v>0.02163686973</v>
      </c>
      <c r="W290" s="19">
        <f t="shared" si="84"/>
        <v>0.02260668984</v>
      </c>
      <c r="X290" s="19">
        <f t="shared" si="84"/>
        <v>1.544299739</v>
      </c>
      <c r="Y290" s="19">
        <f t="shared" si="84"/>
        <v>1.24555963</v>
      </c>
    </row>
    <row r="292">
      <c r="C292" s="1" t="s">
        <v>49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C293" s="20" t="s">
        <v>1</v>
      </c>
      <c r="D293" s="20" t="s">
        <v>2</v>
      </c>
      <c r="E293" s="20" t="s">
        <v>3</v>
      </c>
      <c r="F293" s="20" t="s">
        <v>4</v>
      </c>
      <c r="G293" s="20" t="s">
        <v>5</v>
      </c>
      <c r="H293" s="20" t="s">
        <v>6</v>
      </c>
      <c r="I293" s="20" t="s">
        <v>7</v>
      </c>
      <c r="J293" s="20" t="s">
        <v>8</v>
      </c>
      <c r="K293" s="20" t="s">
        <v>9</v>
      </c>
      <c r="L293" s="20" t="s">
        <v>10</v>
      </c>
      <c r="M293" s="20" t="s">
        <v>11</v>
      </c>
      <c r="N293" s="20" t="s">
        <v>12</v>
      </c>
      <c r="O293" s="20" t="s">
        <v>13</v>
      </c>
      <c r="P293" s="20" t="s">
        <v>14</v>
      </c>
      <c r="Q293" s="20" t="s">
        <v>15</v>
      </c>
      <c r="R293" s="20" t="s">
        <v>2</v>
      </c>
      <c r="S293" s="20" t="s">
        <v>3</v>
      </c>
      <c r="T293" s="20" t="s">
        <v>4</v>
      </c>
      <c r="U293" s="20" t="s">
        <v>5</v>
      </c>
      <c r="V293" s="20" t="s">
        <v>6</v>
      </c>
      <c r="W293" s="20" t="s">
        <v>7</v>
      </c>
      <c r="X293" s="20" t="s">
        <v>8</v>
      </c>
      <c r="Y293" s="20" t="s">
        <v>9</v>
      </c>
      <c r="Z293" s="1"/>
      <c r="AA293" s="1"/>
      <c r="AB293" s="1"/>
      <c r="AC293" s="1"/>
      <c r="AD293" s="1"/>
      <c r="AE293" s="1"/>
      <c r="AF293" s="1"/>
    </row>
    <row r="294">
      <c r="C294" s="14" t="s">
        <v>16</v>
      </c>
      <c r="D294" s="15">
        <v>0.831243656917541</v>
      </c>
      <c r="E294" s="18">
        <v>0.922218720408446</v>
      </c>
      <c r="F294" s="18">
        <v>0.898212433335652</v>
      </c>
      <c r="G294" s="15">
        <v>0.827899283607793</v>
      </c>
      <c r="H294" s="15">
        <v>0.797880149274678</v>
      </c>
      <c r="I294" s="15">
        <v>0.805993563837478</v>
      </c>
      <c r="J294" s="16">
        <v>11.5212218429187</v>
      </c>
      <c r="K294" s="16">
        <v>5.35441246532718</v>
      </c>
      <c r="L294" s="17">
        <v>87.0</v>
      </c>
      <c r="M294" s="17">
        <v>47.4</v>
      </c>
      <c r="N294" s="17">
        <f t="shared" ref="N294:N301" si="85">L294+M294</f>
        <v>134.4</v>
      </c>
      <c r="O294" s="17">
        <v>690.8</v>
      </c>
      <c r="P294" s="17">
        <v>288.8</v>
      </c>
      <c r="Q294" s="17">
        <f t="shared" ref="Q294:Q301" si="86">P294+O294</f>
        <v>979.6</v>
      </c>
      <c r="R294" s="15">
        <v>0.0330747498446074</v>
      </c>
      <c r="S294" s="15">
        <v>0.0225185236409409</v>
      </c>
      <c r="T294" s="15">
        <v>0.0234525262687167</v>
      </c>
      <c r="U294" s="15">
        <v>0.0235618187638136</v>
      </c>
      <c r="V294" s="15">
        <v>0.0414849004032069</v>
      </c>
      <c r="W294" s="15">
        <v>0.0368416424436138</v>
      </c>
      <c r="X294" s="15">
        <v>3.89819128590005</v>
      </c>
      <c r="Y294" s="15">
        <v>1.28921685314109</v>
      </c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4" t="s">
        <v>20</v>
      </c>
      <c r="D295" s="15">
        <v>0.840490062581186</v>
      </c>
      <c r="E295" s="15">
        <v>0.605892220207512</v>
      </c>
      <c r="F295" s="15">
        <v>0.579906097825318</v>
      </c>
      <c r="G295" s="15">
        <v>0.473227667421357</v>
      </c>
      <c r="H295" s="15">
        <v>0.501331648601469</v>
      </c>
      <c r="I295" s="15">
        <v>0.466545606647124</v>
      </c>
      <c r="J295" s="23">
        <v>0.721804511278195</v>
      </c>
      <c r="K295" s="16">
        <v>15.2291892306031</v>
      </c>
      <c r="L295" s="17">
        <v>20.8</v>
      </c>
      <c r="M295" s="17">
        <v>114.4</v>
      </c>
      <c r="N295" s="17">
        <f t="shared" si="85"/>
        <v>135.2</v>
      </c>
      <c r="O295" s="17">
        <v>200.6</v>
      </c>
      <c r="P295" s="17">
        <v>695.8</v>
      </c>
      <c r="Q295" s="30">
        <f t="shared" si="86"/>
        <v>896.4</v>
      </c>
      <c r="R295" s="15">
        <v>0.0195837175087813</v>
      </c>
      <c r="S295" s="15">
        <v>0.139502065180384</v>
      </c>
      <c r="T295" s="15">
        <v>0.0656987231801309</v>
      </c>
      <c r="U295" s="15">
        <v>0.106269445897589</v>
      </c>
      <c r="V295" s="15">
        <v>0.0119694978307514</v>
      </c>
      <c r="W295" s="15">
        <v>0.0238815610749179</v>
      </c>
      <c r="X295" s="15">
        <v>0.782605281858</v>
      </c>
      <c r="Y295" s="15">
        <v>2.10351405942457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4" t="s">
        <v>24</v>
      </c>
      <c r="D296" s="18">
        <v>0.857191505653044</v>
      </c>
      <c r="E296" s="15">
        <v>0.353685391587292</v>
      </c>
      <c r="F296" s="15">
        <v>0.468336245708363</v>
      </c>
      <c r="G296" s="15">
        <v>0.428595752826521</v>
      </c>
      <c r="H296" s="15">
        <v>0.5</v>
      </c>
      <c r="I296" s="15">
        <v>0.461463629383885</v>
      </c>
      <c r="J296" s="23">
        <v>0.0</v>
      </c>
      <c r="K296" s="16">
        <v>14.2808494346955</v>
      </c>
      <c r="L296" s="17">
        <v>25.2</v>
      </c>
      <c r="M296" s="17">
        <v>152.0</v>
      </c>
      <c r="N296" s="17">
        <f t="shared" si="85"/>
        <v>177.2</v>
      </c>
      <c r="O296" s="30">
        <v>106.2</v>
      </c>
      <c r="P296" s="17">
        <v>925.4</v>
      </c>
      <c r="Q296" s="17">
        <f t="shared" si="86"/>
        <v>1031.6</v>
      </c>
      <c r="R296" s="15">
        <v>0.0238881435178776</v>
      </c>
      <c r="S296" s="15">
        <v>0.182244485339727</v>
      </c>
      <c r="T296" s="15">
        <v>0.0565214010913359</v>
      </c>
      <c r="U296" s="15">
        <v>0.0119440717589388</v>
      </c>
      <c r="V296" s="15">
        <v>0.0</v>
      </c>
      <c r="W296" s="15">
        <v>0.00691457567012566</v>
      </c>
      <c r="X296" s="15">
        <v>0.0</v>
      </c>
      <c r="Y296" s="15">
        <v>2.38881435178776</v>
      </c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4" t="s">
        <v>25</v>
      </c>
      <c r="D297" s="18">
        <v>0.883414793078427</v>
      </c>
      <c r="E297" s="18">
        <v>0.944963261482774</v>
      </c>
      <c r="F297" s="18">
        <v>0.940940809029476</v>
      </c>
      <c r="G297" s="18">
        <v>0.884696883008904</v>
      </c>
      <c r="H297" s="18">
        <v>0.883929710144533</v>
      </c>
      <c r="I297" s="18">
        <v>0.882203394613923</v>
      </c>
      <c r="J297" s="16">
        <v>4.75080254499199</v>
      </c>
      <c r="K297" s="16">
        <v>6.90771814716529</v>
      </c>
      <c r="L297" s="17">
        <v>91.6</v>
      </c>
      <c r="M297" s="17">
        <v>73.4</v>
      </c>
      <c r="N297" s="17">
        <f t="shared" si="85"/>
        <v>165</v>
      </c>
      <c r="O297" s="17">
        <v>496.8</v>
      </c>
      <c r="P297" s="17">
        <v>532.8</v>
      </c>
      <c r="Q297" s="17">
        <f t="shared" si="86"/>
        <v>1029.6</v>
      </c>
      <c r="R297" s="15">
        <v>0.0263974008406282</v>
      </c>
      <c r="S297" s="15">
        <v>0.0120166868525861</v>
      </c>
      <c r="T297" s="15">
        <v>0.0129490458327227</v>
      </c>
      <c r="U297" s="15">
        <v>0.0215432721306311</v>
      </c>
      <c r="V297" s="15">
        <v>0.0238775843602238</v>
      </c>
      <c r="W297" s="15">
        <v>0.0260149510694501</v>
      </c>
      <c r="X297" s="15">
        <v>1.51505926204797</v>
      </c>
      <c r="Y297" s="15">
        <v>3.34860992227011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4" t="s">
        <v>26</v>
      </c>
      <c r="D298" s="15">
        <v>0.321093568003658</v>
      </c>
      <c r="E298" s="15">
        <v>0.594809616045365</v>
      </c>
      <c r="F298" s="15">
        <v>0.620545813435685</v>
      </c>
      <c r="G298" s="15">
        <v>0.481225247033156</v>
      </c>
      <c r="H298" s="15">
        <v>0.504461065959075</v>
      </c>
      <c r="I298" s="15">
        <v>0.258412822271734</v>
      </c>
      <c r="J298" s="23">
        <v>0.425979519940546</v>
      </c>
      <c r="K298" s="16">
        <v>67.4646636796935</v>
      </c>
      <c r="L298" s="17">
        <v>100.4</v>
      </c>
      <c r="M298" s="17">
        <v>45.0</v>
      </c>
      <c r="N298" s="17">
        <f t="shared" si="85"/>
        <v>145.4</v>
      </c>
      <c r="O298" s="17">
        <v>477.4</v>
      </c>
      <c r="P298" s="17">
        <v>397.2</v>
      </c>
      <c r="Q298" s="30">
        <f t="shared" si="86"/>
        <v>874.6</v>
      </c>
      <c r="R298" s="15">
        <v>0.0403150941481473</v>
      </c>
      <c r="S298" s="15">
        <v>0.219540548451632</v>
      </c>
      <c r="T298" s="15">
        <v>0.148828868711589</v>
      </c>
      <c r="U298" s="15">
        <v>0.191835025913528</v>
      </c>
      <c r="V298" s="15">
        <v>0.0151868872337745</v>
      </c>
      <c r="W298" s="15">
        <v>0.0387949551452833</v>
      </c>
      <c r="X298" s="15">
        <v>0.348272480561512</v>
      </c>
      <c r="Y298" s="15">
        <v>3.96362606129871</v>
      </c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33" t="s">
        <v>27</v>
      </c>
      <c r="D299" s="15">
        <v>0.750029520737098</v>
      </c>
      <c r="E299" s="18">
        <v>0.876204178672179</v>
      </c>
      <c r="F299" s="18">
        <v>0.862083307233848</v>
      </c>
      <c r="G299" s="15">
        <v>0.783563805167578</v>
      </c>
      <c r="H299" s="15">
        <v>0.741213232510774</v>
      </c>
      <c r="I299" s="15">
        <v>0.73304013443421</v>
      </c>
      <c r="J299" s="16">
        <v>5.06354266951391</v>
      </c>
      <c r="K299" s="16">
        <v>19.9335052567762</v>
      </c>
      <c r="L299" s="17">
        <v>42.0</v>
      </c>
      <c r="M299" s="17">
        <v>49.8</v>
      </c>
      <c r="N299" s="17">
        <f t="shared" si="85"/>
        <v>91.8</v>
      </c>
      <c r="O299" s="17">
        <v>223.4</v>
      </c>
      <c r="P299" s="17">
        <v>573.8</v>
      </c>
      <c r="Q299" s="30">
        <f t="shared" si="86"/>
        <v>797.2</v>
      </c>
      <c r="R299" s="15">
        <v>0.068996924950723</v>
      </c>
      <c r="S299" s="15">
        <v>0.0314241171222563</v>
      </c>
      <c r="T299" s="15">
        <v>0.0352842738782549</v>
      </c>
      <c r="U299" s="15">
        <v>0.0522721380506683</v>
      </c>
      <c r="V299" s="15">
        <v>0.0672527914985575</v>
      </c>
      <c r="W299" s="15">
        <v>0.0762483594525333</v>
      </c>
      <c r="X299" s="15">
        <v>3.24010408996671</v>
      </c>
      <c r="Y299" s="15">
        <v>8.16453260920318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4" t="s">
        <v>28</v>
      </c>
      <c r="D300" s="15">
        <v>0.706410584212106</v>
      </c>
      <c r="E300" s="15">
        <v>0.758368946896793</v>
      </c>
      <c r="F300" s="15">
        <v>0.734612224781508</v>
      </c>
      <c r="G300" s="15">
        <v>0.677308019906384</v>
      </c>
      <c r="H300" s="15">
        <v>0.663557527569971</v>
      </c>
      <c r="I300" s="15">
        <v>0.666899018264724</v>
      </c>
      <c r="J300" s="16">
        <v>12.5902604154572</v>
      </c>
      <c r="K300" s="16">
        <v>16.7686811633321</v>
      </c>
      <c r="L300" s="17">
        <v>45.6</v>
      </c>
      <c r="M300" s="17">
        <v>83.6</v>
      </c>
      <c r="N300" s="17">
        <f t="shared" si="85"/>
        <v>129.2</v>
      </c>
      <c r="O300" s="17">
        <v>241.8</v>
      </c>
      <c r="P300" s="17">
        <v>662.4</v>
      </c>
      <c r="Q300" s="17">
        <f t="shared" si="86"/>
        <v>904.2</v>
      </c>
      <c r="R300" s="15">
        <v>0.0255047533043159</v>
      </c>
      <c r="S300" s="15">
        <v>0.0364201627673705</v>
      </c>
      <c r="T300" s="15">
        <v>0.0319107969096358</v>
      </c>
      <c r="U300" s="15">
        <v>0.0236030794284973</v>
      </c>
      <c r="V300" s="15">
        <v>0.0221419882575688</v>
      </c>
      <c r="W300" s="15">
        <v>0.0219503243440207</v>
      </c>
      <c r="X300" s="15">
        <v>2.79843887601212</v>
      </c>
      <c r="Y300" s="15">
        <v>2.15680132909215</v>
      </c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4" t="s">
        <v>29</v>
      </c>
      <c r="D301" s="18">
        <v>0.940026663764488</v>
      </c>
      <c r="E301" s="22">
        <v>0.953299015113573</v>
      </c>
      <c r="F301" s="18">
        <v>0.948640992006548</v>
      </c>
      <c r="G301" s="18">
        <v>0.939316780800046</v>
      </c>
      <c r="H301" s="18">
        <v>0.936298468866033</v>
      </c>
      <c r="I301" s="18">
        <v>0.936675923692211</v>
      </c>
      <c r="J301" s="23">
        <v>2.58702000689267</v>
      </c>
      <c r="K301" s="16">
        <v>3.4103136166585</v>
      </c>
      <c r="L301" s="17">
        <v>37.6</v>
      </c>
      <c r="M301" s="17">
        <v>57.4</v>
      </c>
      <c r="N301" s="17">
        <f t="shared" si="85"/>
        <v>95</v>
      </c>
      <c r="O301" s="17">
        <v>303.2</v>
      </c>
      <c r="P301" s="17">
        <v>550.8</v>
      </c>
      <c r="Q301" s="30">
        <f t="shared" si="86"/>
        <v>854</v>
      </c>
      <c r="R301" s="15">
        <v>0.0164763656226688</v>
      </c>
      <c r="S301" s="15">
        <v>0.027161919804383</v>
      </c>
      <c r="T301" s="15">
        <v>0.0306712105105175</v>
      </c>
      <c r="U301" s="15">
        <v>0.0186550250949156</v>
      </c>
      <c r="V301" s="15">
        <v>0.0162399523536016</v>
      </c>
      <c r="W301" s="15">
        <v>0.0170732732700135</v>
      </c>
      <c r="X301" s="15">
        <v>1.78589562946461</v>
      </c>
      <c r="Y301" s="15">
        <v>1.7728682948685</v>
      </c>
      <c r="Z301" s="1"/>
      <c r="AA301" s="1"/>
      <c r="AB301" s="1"/>
      <c r="AC301" s="1"/>
      <c r="AD301" s="1"/>
      <c r="AE301" s="1"/>
      <c r="AF301" s="1"/>
    </row>
    <row r="302">
      <c r="C302" s="14" t="s">
        <v>31</v>
      </c>
      <c r="D302" s="18">
        <f t="shared" ref="D302:Y302" si="87">MEDIAN(D294:D301)</f>
        <v>0.8358668597</v>
      </c>
      <c r="E302" s="18">
        <f t="shared" si="87"/>
        <v>0.8172865628</v>
      </c>
      <c r="F302" s="18">
        <f t="shared" si="87"/>
        <v>0.798347766</v>
      </c>
      <c r="G302" s="18">
        <f t="shared" si="87"/>
        <v>0.7304359125</v>
      </c>
      <c r="H302" s="18">
        <f t="shared" si="87"/>
        <v>0.70238538</v>
      </c>
      <c r="I302" s="18">
        <f t="shared" si="87"/>
        <v>0.6999695763</v>
      </c>
      <c r="J302" s="16">
        <f t="shared" si="87"/>
        <v>3.668911276</v>
      </c>
      <c r="K302" s="16">
        <f t="shared" si="87"/>
        <v>14.75501933</v>
      </c>
      <c r="L302" s="24">
        <f t="shared" si="87"/>
        <v>43.8</v>
      </c>
      <c r="M302" s="24">
        <f t="shared" si="87"/>
        <v>65.4</v>
      </c>
      <c r="N302" s="24">
        <f t="shared" si="87"/>
        <v>134.8</v>
      </c>
      <c r="O302" s="24">
        <f t="shared" si="87"/>
        <v>272.5</v>
      </c>
      <c r="P302" s="24">
        <f t="shared" si="87"/>
        <v>562.3</v>
      </c>
      <c r="Q302" s="24">
        <f t="shared" si="87"/>
        <v>900.3</v>
      </c>
      <c r="R302" s="19">
        <f t="shared" si="87"/>
        <v>0.02595107707</v>
      </c>
      <c r="S302" s="19">
        <f t="shared" si="87"/>
        <v>0.03392213994</v>
      </c>
      <c r="T302" s="19">
        <f t="shared" si="87"/>
        <v>0.03359753539</v>
      </c>
      <c r="U302" s="19">
        <f t="shared" si="87"/>
        <v>0.0235824491</v>
      </c>
      <c r="V302" s="19">
        <f t="shared" si="87"/>
        <v>0.01919097031</v>
      </c>
      <c r="W302" s="19">
        <f t="shared" si="87"/>
        <v>0.02494825607</v>
      </c>
      <c r="X302" s="19">
        <f t="shared" si="87"/>
        <v>1.650477446</v>
      </c>
      <c r="Y302" s="19">
        <f t="shared" si="87"/>
        <v>2.27280784</v>
      </c>
    </row>
    <row r="304">
      <c r="C304" s="26" t="s">
        <v>70</v>
      </c>
      <c r="D304" s="20" t="s">
        <v>2</v>
      </c>
      <c r="E304" s="26" t="s">
        <v>63</v>
      </c>
      <c r="F304" s="20" t="s">
        <v>7</v>
      </c>
      <c r="H304" s="27"/>
      <c r="I304" s="28" t="s">
        <v>61</v>
      </c>
      <c r="J304" s="28" t="s">
        <v>62</v>
      </c>
      <c r="L304" s="20" t="s">
        <v>55</v>
      </c>
      <c r="M304" s="20" t="s">
        <v>56</v>
      </c>
      <c r="N304" s="20" t="s">
        <v>57</v>
      </c>
      <c r="O304" s="20" t="s">
        <v>58</v>
      </c>
      <c r="Q304" s="20" t="s">
        <v>59</v>
      </c>
      <c r="R304" s="20" t="s">
        <v>60</v>
      </c>
      <c r="S304" s="20" t="s">
        <v>56</v>
      </c>
      <c r="T304" s="20" t="s">
        <v>57</v>
      </c>
      <c r="U304" s="20" t="s">
        <v>58</v>
      </c>
    </row>
    <row r="305">
      <c r="C305" s="14" t="s">
        <v>71</v>
      </c>
      <c r="D305" s="18">
        <f t="shared" ref="D305:E305" si="88">MEDIAN(D234:D241,D246:D253,D258:D265)</f>
        <v>0.8416203158</v>
      </c>
      <c r="E305" s="18">
        <f t="shared" si="88"/>
        <v>0.8988790952</v>
      </c>
      <c r="F305" s="18">
        <f>MEDIAN(I234:I241,I246:I253,I258:I265)</f>
        <v>0.7978651025</v>
      </c>
      <c r="H305" s="35" t="s">
        <v>74</v>
      </c>
      <c r="I305" s="17">
        <v>1200.0</v>
      </c>
      <c r="J305" s="17">
        <v>979.5999999999999</v>
      </c>
      <c r="L305" s="14" t="s">
        <v>61</v>
      </c>
      <c r="M305" s="18">
        <f>D254</f>
        <v>0.9106666667</v>
      </c>
      <c r="N305" s="18">
        <f>D242</f>
        <v>0.7633333333</v>
      </c>
      <c r="O305" s="18">
        <f>D266</f>
        <v>0.8291206568</v>
      </c>
      <c r="Q305" s="14" t="s">
        <v>2</v>
      </c>
      <c r="R305" s="14" t="s">
        <v>61</v>
      </c>
      <c r="S305" s="15">
        <f t="shared" ref="S305:U305" si="89">M305</f>
        <v>0.9106666667</v>
      </c>
      <c r="T305" s="15">
        <f t="shared" si="89"/>
        <v>0.7633333333</v>
      </c>
      <c r="U305" s="15">
        <f t="shared" si="89"/>
        <v>0.8291206568</v>
      </c>
    </row>
    <row r="306">
      <c r="C306" s="14" t="s">
        <v>72</v>
      </c>
      <c r="D306" s="18">
        <f t="shared" ref="D306:E306" si="90">MEDIAN(D270:D277,D282:D289,D294:D301)</f>
        <v>0.870795576</v>
      </c>
      <c r="E306" s="18">
        <f t="shared" si="90"/>
        <v>0.8736710389</v>
      </c>
      <c r="F306" s="18">
        <f>MEDIAN(I270:I277,I282:I289,I294:I301)</f>
        <v>0.7225657347</v>
      </c>
      <c r="H306" s="35" t="s">
        <v>78</v>
      </c>
      <c r="I306" s="17">
        <v>1136.4</v>
      </c>
      <c r="J306" s="17">
        <v>896.4</v>
      </c>
      <c r="L306" s="14" t="s">
        <v>62</v>
      </c>
      <c r="M306" s="18">
        <f>D290</f>
        <v>0.865</v>
      </c>
      <c r="N306" s="18">
        <f>D278</f>
        <v>0.8967424469</v>
      </c>
      <c r="O306" s="18">
        <f>D302</f>
        <v>0.8358668597</v>
      </c>
      <c r="Q306" s="14" t="s">
        <v>2</v>
      </c>
      <c r="R306" s="14" t="s">
        <v>62</v>
      </c>
      <c r="S306" s="15">
        <f t="shared" ref="S306:U306" si="91">M306</f>
        <v>0.865</v>
      </c>
      <c r="T306" s="15">
        <f t="shared" si="91"/>
        <v>0.8967424469</v>
      </c>
      <c r="U306" s="15">
        <f t="shared" si="91"/>
        <v>0.8358668597</v>
      </c>
    </row>
    <row r="307">
      <c r="H307" s="35" t="s">
        <v>79</v>
      </c>
      <c r="I307" s="17">
        <v>1200.0</v>
      </c>
      <c r="J307" s="17">
        <v>1031.6</v>
      </c>
      <c r="Q307" s="14" t="s">
        <v>63</v>
      </c>
      <c r="R307" s="14" t="s">
        <v>61</v>
      </c>
      <c r="S307" s="15">
        <f t="shared" ref="S307:U307" si="92">M309</f>
        <v>0.9423796626</v>
      </c>
      <c r="T307" s="15">
        <f t="shared" si="92"/>
        <v>0.7468844129</v>
      </c>
      <c r="U307" s="15">
        <f t="shared" si="92"/>
        <v>0.8988790952</v>
      </c>
    </row>
    <row r="308">
      <c r="C308" s="2" t="s">
        <v>67</v>
      </c>
      <c r="H308" s="35" t="s">
        <v>75</v>
      </c>
      <c r="I308" s="17">
        <v>1200.0</v>
      </c>
      <c r="J308" s="17">
        <v>1029.6</v>
      </c>
      <c r="L308" s="26" t="s">
        <v>66</v>
      </c>
      <c r="M308" s="20" t="s">
        <v>56</v>
      </c>
      <c r="N308" s="20" t="s">
        <v>57</v>
      </c>
      <c r="O308" s="20" t="s">
        <v>58</v>
      </c>
      <c r="Q308" s="14" t="s">
        <v>63</v>
      </c>
      <c r="R308" s="14" t="s">
        <v>62</v>
      </c>
      <c r="S308" s="15">
        <f t="shared" ref="S308:U308" si="93">M310</f>
        <v>0.8304215738</v>
      </c>
      <c r="T308" s="15">
        <f t="shared" si="93"/>
        <v>0.9201468275</v>
      </c>
      <c r="U308" s="15">
        <f t="shared" si="93"/>
        <v>0.8172865628</v>
      </c>
    </row>
    <row r="309">
      <c r="C309" s="26" t="s">
        <v>70</v>
      </c>
      <c r="D309" s="20" t="s">
        <v>2</v>
      </c>
      <c r="E309" s="26" t="s">
        <v>63</v>
      </c>
      <c r="F309" s="20" t="s">
        <v>7</v>
      </c>
      <c r="H309" s="35" t="s">
        <v>80</v>
      </c>
      <c r="I309" s="17">
        <v>1200.0</v>
      </c>
      <c r="J309" s="17">
        <v>874.5999999999999</v>
      </c>
      <c r="L309" s="14" t="s">
        <v>61</v>
      </c>
      <c r="M309" s="18">
        <f>E254</f>
        <v>0.9423796626</v>
      </c>
      <c r="N309" s="18">
        <f>E242</f>
        <v>0.7468844129</v>
      </c>
      <c r="O309" s="18">
        <f>E266</f>
        <v>0.8988790952</v>
      </c>
      <c r="Q309" s="14" t="s">
        <v>64</v>
      </c>
      <c r="R309" s="14" t="s">
        <v>61</v>
      </c>
      <c r="S309" s="15">
        <f t="shared" ref="S309:U309" si="94">M313</f>
        <v>0.8804519828</v>
      </c>
      <c r="T309" s="15">
        <f t="shared" si="94"/>
        <v>0.6124319288</v>
      </c>
      <c r="U309" s="15">
        <f t="shared" si="94"/>
        <v>0.7788271679</v>
      </c>
    </row>
    <row r="310">
      <c r="C310" s="14" t="s">
        <v>71</v>
      </c>
      <c r="D310" s="15">
        <f>MEDIAN(R234:R240,R241,R246:R253,R258:R265)</f>
        <v>0.01570711616</v>
      </c>
      <c r="E310" s="15">
        <f>MEDIAN(S234:S241,S246:S253,S258:S265)</f>
        <v>0.01462676153</v>
      </c>
      <c r="F310" s="15">
        <f>MEDIAN(W234:W241,W246:W253,W258:W265)</f>
        <v>0.01888268772</v>
      </c>
      <c r="H310" s="35" t="s">
        <v>81</v>
      </c>
      <c r="I310" s="17">
        <v>1200.0</v>
      </c>
      <c r="J310" s="17">
        <v>797.1999999999999</v>
      </c>
      <c r="L310" s="14" t="s">
        <v>62</v>
      </c>
      <c r="M310" s="18">
        <f>E290</f>
        <v>0.8304215738</v>
      </c>
      <c r="N310" s="18">
        <f>E278</f>
        <v>0.9201468275</v>
      </c>
      <c r="O310" s="18">
        <f>E302</f>
        <v>0.8172865628</v>
      </c>
      <c r="Q310" s="14" t="s">
        <v>64</v>
      </c>
      <c r="R310" s="14" t="s">
        <v>62</v>
      </c>
      <c r="S310" s="15">
        <f t="shared" ref="S310:U310" si="95">M314</f>
        <v>0.7071068971</v>
      </c>
      <c r="T310" s="15">
        <f t="shared" si="95"/>
        <v>0.8468600983</v>
      </c>
      <c r="U310" s="15">
        <f t="shared" si="95"/>
        <v>0.6999695763</v>
      </c>
    </row>
    <row r="311">
      <c r="C311" s="14" t="s">
        <v>72</v>
      </c>
      <c r="D311" s="15">
        <f t="shared" ref="D311:E311" si="96">MEDIAN(R270:R277,R282:R289,R294:R301)</f>
        <v>0.01948874729</v>
      </c>
      <c r="E311" s="15">
        <f t="shared" si="96"/>
        <v>0.0302470854</v>
      </c>
      <c r="F311" s="15">
        <f>MEDIAN(W294:W301,W282:W289,W270:W277)</f>
        <v>0.02034190004</v>
      </c>
      <c r="H311" s="35" t="s">
        <v>82</v>
      </c>
      <c r="I311" s="17">
        <v>1200.0</v>
      </c>
      <c r="J311" s="17">
        <v>904.2</v>
      </c>
    </row>
    <row r="312">
      <c r="H312" s="35" t="s">
        <v>76</v>
      </c>
      <c r="I312" s="17">
        <v>1200.0</v>
      </c>
      <c r="J312" s="17">
        <v>854.0</v>
      </c>
      <c r="L312" s="26" t="s">
        <v>83</v>
      </c>
      <c r="M312" s="20" t="s">
        <v>56</v>
      </c>
      <c r="N312" s="20" t="s">
        <v>57</v>
      </c>
      <c r="O312" s="20" t="s">
        <v>58</v>
      </c>
      <c r="Q312" s="2" t="s">
        <v>67</v>
      </c>
    </row>
    <row r="313">
      <c r="H313" s="14" t="s">
        <v>31</v>
      </c>
      <c r="I313" s="17">
        <f t="shared" ref="I313:J313" si="97">MEDIAN(I305:I312)</f>
        <v>1200</v>
      </c>
      <c r="J313" s="17">
        <f t="shared" si="97"/>
        <v>900.3</v>
      </c>
      <c r="L313" s="14" t="s">
        <v>61</v>
      </c>
      <c r="M313" s="18">
        <f>I254</f>
        <v>0.8804519828</v>
      </c>
      <c r="N313" s="18">
        <f>I242</f>
        <v>0.6124319288</v>
      </c>
      <c r="O313" s="18">
        <f>I266</f>
        <v>0.7788271679</v>
      </c>
      <c r="Q313" s="20" t="s">
        <v>59</v>
      </c>
      <c r="R313" s="20" t="s">
        <v>60</v>
      </c>
      <c r="S313" s="20" t="s">
        <v>56</v>
      </c>
      <c r="T313" s="20" t="s">
        <v>57</v>
      </c>
      <c r="U313" s="20" t="s">
        <v>58</v>
      </c>
    </row>
    <row r="314">
      <c r="L314" s="14" t="s">
        <v>62</v>
      </c>
      <c r="M314" s="18">
        <f>I290</f>
        <v>0.7071068971</v>
      </c>
      <c r="N314" s="18">
        <f>I278</f>
        <v>0.8468600983</v>
      </c>
      <c r="O314" s="18">
        <f>I302</f>
        <v>0.6999695763</v>
      </c>
      <c r="Q314" s="14" t="s">
        <v>2</v>
      </c>
      <c r="R314" s="14" t="s">
        <v>61</v>
      </c>
      <c r="S314" s="15">
        <f>R254</f>
        <v>0.01310235943</v>
      </c>
      <c r="T314" s="15">
        <f>R242</f>
        <v>0.01831007431</v>
      </c>
      <c r="U314" s="15">
        <f>R266</f>
        <v>0.02290358189</v>
      </c>
    </row>
    <row r="315">
      <c r="Q315" s="14" t="s">
        <v>2</v>
      </c>
      <c r="R315" s="14" t="s">
        <v>62</v>
      </c>
      <c r="S315" s="15">
        <f>R290</f>
        <v>0.02058023544</v>
      </c>
      <c r="T315" s="15">
        <f>R278</f>
        <v>0.01476810336</v>
      </c>
      <c r="U315" s="15">
        <f>R302</f>
        <v>0.02595107707</v>
      </c>
    </row>
    <row r="316">
      <c r="Q316" s="14" t="s">
        <v>63</v>
      </c>
      <c r="R316" s="14" t="s">
        <v>61</v>
      </c>
      <c r="S316" s="15">
        <f>S254</f>
        <v>0.01272763932</v>
      </c>
      <c r="T316" s="15">
        <f>S242</f>
        <v>0.03160243628</v>
      </c>
      <c r="U316" s="15">
        <f>S266</f>
        <v>0.01903685315</v>
      </c>
    </row>
    <row r="317">
      <c r="Q317" s="14" t="s">
        <v>63</v>
      </c>
      <c r="R317" s="14" t="s">
        <v>62</v>
      </c>
      <c r="S317" s="15">
        <f>S290</f>
        <v>0.03111092202</v>
      </c>
      <c r="T317" s="15">
        <f>S278</f>
        <v>0.02534925147</v>
      </c>
      <c r="U317" s="15">
        <f>S302</f>
        <v>0.03392213994</v>
      </c>
    </row>
    <row r="318">
      <c r="Q318" s="14" t="s">
        <v>64</v>
      </c>
      <c r="R318" s="14" t="s">
        <v>61</v>
      </c>
      <c r="S318" s="15">
        <f>W254</f>
        <v>0.01586629545</v>
      </c>
      <c r="T318" s="15">
        <f>W242</f>
        <v>0.02266196599</v>
      </c>
      <c r="U318" s="15">
        <f>W266</f>
        <v>0.02299978931</v>
      </c>
    </row>
    <row r="319">
      <c r="C319" s="2" t="s">
        <v>84</v>
      </c>
      <c r="Q319" s="14" t="s">
        <v>64</v>
      </c>
      <c r="R319" s="14" t="s">
        <v>62</v>
      </c>
      <c r="S319" s="15">
        <f>W290</f>
        <v>0.02260668984</v>
      </c>
      <c r="T319" s="15">
        <f>W278</f>
        <v>0.01138077348</v>
      </c>
      <c r="U319" s="15">
        <f>W302</f>
        <v>0.02494825607</v>
      </c>
    </row>
    <row r="321">
      <c r="A321" s="36"/>
      <c r="B321" s="37"/>
      <c r="C321" s="37" t="s">
        <v>2</v>
      </c>
      <c r="D321" s="37" t="s">
        <v>85</v>
      </c>
      <c r="E321" s="37" t="s">
        <v>86</v>
      </c>
    </row>
    <row r="322">
      <c r="A322" s="36"/>
      <c r="B322" s="37" t="s">
        <v>87</v>
      </c>
      <c r="C322" s="38">
        <v>0.027344</v>
      </c>
      <c r="D322" s="15">
        <v>0.0625</v>
      </c>
      <c r="E322" s="38">
        <v>0.039062</v>
      </c>
    </row>
    <row r="330">
      <c r="A330" s="3" t="s">
        <v>88</v>
      </c>
      <c r="B330" s="3" t="s">
        <v>89</v>
      </c>
      <c r="C330" s="3" t="s">
        <v>90</v>
      </c>
      <c r="D330" s="3" t="s">
        <v>91</v>
      </c>
      <c r="F330" s="3" t="s">
        <v>88</v>
      </c>
      <c r="G330" s="3" t="s">
        <v>89</v>
      </c>
      <c r="H330" s="3" t="s">
        <v>90</v>
      </c>
      <c r="I330" s="3" t="s">
        <v>91</v>
      </c>
    </row>
    <row r="331">
      <c r="A331" s="2" t="s">
        <v>92</v>
      </c>
      <c r="F331" s="2" t="s">
        <v>92</v>
      </c>
    </row>
    <row r="332">
      <c r="A332" s="35" t="s">
        <v>74</v>
      </c>
      <c r="B332" s="39">
        <v>618.0</v>
      </c>
      <c r="C332" s="39">
        <v>230.0</v>
      </c>
      <c r="D332" s="39">
        <v>848.0</v>
      </c>
      <c r="F332" s="14" t="s">
        <v>74</v>
      </c>
      <c r="G332" s="40">
        <v>618.0</v>
      </c>
      <c r="H332" s="40">
        <v>230.0</v>
      </c>
      <c r="I332" s="40">
        <v>848.0</v>
      </c>
    </row>
    <row r="333">
      <c r="A333" s="35" t="s">
        <v>78</v>
      </c>
      <c r="B333" s="39">
        <v>99.0</v>
      </c>
      <c r="C333" s="39">
        <v>593.0</v>
      </c>
      <c r="D333" s="39">
        <v>692.0</v>
      </c>
      <c r="F333" s="14" t="s">
        <v>75</v>
      </c>
      <c r="G333" s="40">
        <v>426.0</v>
      </c>
      <c r="H333" s="40">
        <v>422.0</v>
      </c>
      <c r="I333" s="40">
        <v>848.0</v>
      </c>
    </row>
    <row r="334">
      <c r="A334" s="35" t="s">
        <v>79</v>
      </c>
      <c r="B334" s="39">
        <v>84.0</v>
      </c>
      <c r="C334" s="39">
        <v>764.0</v>
      </c>
      <c r="D334" s="39">
        <v>848.0</v>
      </c>
      <c r="F334" s="14" t="s">
        <v>82</v>
      </c>
      <c r="G334" s="40">
        <v>226.0</v>
      </c>
      <c r="H334" s="40">
        <v>467.0</v>
      </c>
      <c r="I334" s="40">
        <v>693.0</v>
      </c>
    </row>
    <row r="335">
      <c r="A335" s="35" t="s">
        <v>75</v>
      </c>
      <c r="B335" s="39">
        <v>426.0</v>
      </c>
      <c r="C335" s="39">
        <v>422.0</v>
      </c>
      <c r="D335" s="39">
        <v>848.0</v>
      </c>
      <c r="F335" s="2" t="s">
        <v>93</v>
      </c>
    </row>
    <row r="336">
      <c r="A336" s="35" t="s">
        <v>80</v>
      </c>
      <c r="B336" s="39">
        <v>102.0</v>
      </c>
      <c r="C336" s="39">
        <v>503.0</v>
      </c>
      <c r="D336" s="39">
        <v>605.0</v>
      </c>
      <c r="F336" s="14" t="s">
        <v>74</v>
      </c>
      <c r="G336" s="40">
        <v>1148.0</v>
      </c>
      <c r="H336" s="40">
        <v>427.0</v>
      </c>
      <c r="I336" s="40">
        <v>1575.0</v>
      </c>
    </row>
    <row r="337">
      <c r="A337" s="35" t="s">
        <v>81</v>
      </c>
      <c r="B337" s="39">
        <v>186.0</v>
      </c>
      <c r="C337" s="39">
        <v>393.0</v>
      </c>
      <c r="D337" s="39">
        <v>579.0</v>
      </c>
      <c r="F337" s="14" t="s">
        <v>75</v>
      </c>
      <c r="G337" s="40">
        <v>703.0</v>
      </c>
      <c r="H337" s="40">
        <v>872.0</v>
      </c>
      <c r="I337" s="40">
        <v>1575.0</v>
      </c>
    </row>
    <row r="338">
      <c r="A338" s="35" t="s">
        <v>82</v>
      </c>
      <c r="B338" s="39">
        <v>226.0</v>
      </c>
      <c r="C338" s="39">
        <v>467.0</v>
      </c>
      <c r="D338" s="39">
        <v>693.0</v>
      </c>
      <c r="F338" s="14" t="s">
        <v>82</v>
      </c>
      <c r="G338" s="40">
        <v>248.0</v>
      </c>
      <c r="H338" s="40">
        <v>1327.0</v>
      </c>
      <c r="I338" s="40">
        <v>1575.0</v>
      </c>
    </row>
    <row r="339">
      <c r="A339" s="35" t="s">
        <v>76</v>
      </c>
      <c r="B339" s="39">
        <v>266.0</v>
      </c>
      <c r="C339" s="39">
        <v>426.0</v>
      </c>
      <c r="D339" s="39">
        <v>692.0</v>
      </c>
      <c r="F339" s="2" t="s">
        <v>94</v>
      </c>
    </row>
    <row r="340">
      <c r="A340" s="2" t="s">
        <v>93</v>
      </c>
      <c r="F340" s="14" t="s">
        <v>74</v>
      </c>
      <c r="G340" s="40">
        <v>537.0</v>
      </c>
      <c r="H340" s="40">
        <v>321.0</v>
      </c>
      <c r="I340" s="40">
        <v>858.0</v>
      </c>
    </row>
    <row r="341">
      <c r="A341" s="35" t="s">
        <v>74</v>
      </c>
      <c r="B341" s="39">
        <v>1148.0</v>
      </c>
      <c r="C341" s="39">
        <v>427.0</v>
      </c>
      <c r="D341" s="39">
        <v>1575.0</v>
      </c>
      <c r="F341" s="14" t="s">
        <v>75</v>
      </c>
      <c r="G341" s="40">
        <v>564.0</v>
      </c>
      <c r="H341" s="40">
        <v>485.0</v>
      </c>
      <c r="I341" s="40">
        <v>1049.0</v>
      </c>
    </row>
    <row r="342">
      <c r="A342" s="35" t="s">
        <v>78</v>
      </c>
      <c r="B342" s="39">
        <v>504.0</v>
      </c>
      <c r="C342" s="39">
        <v>982.0</v>
      </c>
      <c r="D342" s="39">
        <v>1486.0</v>
      </c>
      <c r="F342" s="14" t="s">
        <v>82</v>
      </c>
      <c r="G342" s="40">
        <v>308.0</v>
      </c>
      <c r="H342" s="40">
        <v>500.0</v>
      </c>
      <c r="I342" s="40">
        <v>808.0</v>
      </c>
    </row>
    <row r="343">
      <c r="A343" s="35" t="s">
        <v>79</v>
      </c>
      <c r="B343" s="39">
        <v>145.0</v>
      </c>
      <c r="C343" s="39">
        <v>1430.0</v>
      </c>
      <c r="D343" s="39">
        <v>1575.0</v>
      </c>
    </row>
    <row r="344">
      <c r="A344" s="35" t="s">
        <v>75</v>
      </c>
      <c r="B344" s="39">
        <v>703.0</v>
      </c>
      <c r="C344" s="39">
        <v>872.0</v>
      </c>
      <c r="D344" s="39">
        <v>1575.0</v>
      </c>
    </row>
    <row r="345">
      <c r="A345" s="35" t="s">
        <v>80</v>
      </c>
      <c r="B345" s="39">
        <v>1155.0</v>
      </c>
      <c r="C345" s="39">
        <v>420.0</v>
      </c>
      <c r="D345" s="39">
        <v>1575.0</v>
      </c>
    </row>
    <row r="346">
      <c r="A346" s="35" t="s">
        <v>81</v>
      </c>
      <c r="B346" s="39">
        <v>306.0</v>
      </c>
      <c r="C346" s="39">
        <v>1269.0</v>
      </c>
      <c r="D346" s="39">
        <v>1575.0</v>
      </c>
    </row>
    <row r="347">
      <c r="A347" s="35" t="s">
        <v>82</v>
      </c>
      <c r="B347" s="39">
        <v>248.0</v>
      </c>
      <c r="C347" s="39">
        <v>1327.0</v>
      </c>
      <c r="D347" s="39">
        <v>1575.0</v>
      </c>
    </row>
    <row r="348">
      <c r="A348" s="35" t="s">
        <v>76</v>
      </c>
      <c r="B348" s="39">
        <v>528.0</v>
      </c>
      <c r="C348" s="39">
        <v>1047.0</v>
      </c>
      <c r="D348" s="39">
        <v>1575.0</v>
      </c>
    </row>
    <row r="349">
      <c r="A349" s="2" t="s">
        <v>94</v>
      </c>
    </row>
    <row r="350">
      <c r="A350" s="35" t="s">
        <v>74</v>
      </c>
      <c r="B350" s="39">
        <v>537.0</v>
      </c>
      <c r="C350" s="39">
        <v>321.0</v>
      </c>
      <c r="D350" s="39">
        <v>858.0</v>
      </c>
    </row>
    <row r="351">
      <c r="A351" s="35" t="s">
        <v>78</v>
      </c>
      <c r="B351" s="39">
        <v>133.0</v>
      </c>
      <c r="C351" s="39">
        <v>718.0</v>
      </c>
      <c r="D351" s="39">
        <v>851.0</v>
      </c>
    </row>
    <row r="352">
      <c r="A352" s="35" t="s">
        <v>79</v>
      </c>
      <c r="B352" s="39">
        <v>159.0</v>
      </c>
      <c r="C352" s="39">
        <v>914.0</v>
      </c>
      <c r="D352" s="39">
        <v>1073.0</v>
      </c>
    </row>
    <row r="353">
      <c r="A353" s="35" t="s">
        <v>75</v>
      </c>
      <c r="B353" s="39">
        <v>564.0</v>
      </c>
      <c r="C353" s="39">
        <v>485.0</v>
      </c>
      <c r="D353" s="39">
        <v>1049.0</v>
      </c>
    </row>
    <row r="354">
      <c r="A354" s="35" t="s">
        <v>80</v>
      </c>
      <c r="B354" s="39">
        <v>612.0</v>
      </c>
      <c r="C354" s="39">
        <v>277.0</v>
      </c>
      <c r="D354" s="39">
        <v>889.0</v>
      </c>
    </row>
    <row r="355">
      <c r="A355" s="35" t="s">
        <v>81</v>
      </c>
      <c r="B355" s="39">
        <v>261.0</v>
      </c>
      <c r="C355" s="39">
        <v>330.0</v>
      </c>
      <c r="D355" s="39">
        <v>591.0</v>
      </c>
    </row>
    <row r="356">
      <c r="A356" s="35" t="s">
        <v>82</v>
      </c>
      <c r="B356" s="39">
        <v>308.0</v>
      </c>
      <c r="C356" s="39">
        <v>500.0</v>
      </c>
      <c r="D356" s="39">
        <v>808.0</v>
      </c>
    </row>
    <row r="357">
      <c r="A357" s="35" t="s">
        <v>76</v>
      </c>
      <c r="B357" s="39">
        <v>209.0</v>
      </c>
      <c r="C357" s="39">
        <v>374.0</v>
      </c>
      <c r="D357" s="39">
        <v>583.0</v>
      </c>
    </row>
  </sheetData>
  <conditionalFormatting sqref="J4:K19 J23:K38 J42:K57 J61:K89 J93:K121 J125:K153">
    <cfRule type="cellIs" dxfId="0" priority="1" operator="lessThanOrEqual">
      <formula>3</formula>
    </cfRule>
  </conditionalFormatting>
  <conditionalFormatting sqref="D4:I19 D23:I38 D42:I57 D61:I89 D93:I121 D125:I153">
    <cfRule type="cellIs" dxfId="1" priority="2" operator="greaterThan">
      <formula>0.95</formula>
    </cfRule>
  </conditionalFormatting>
  <conditionalFormatting sqref="D4:I19 D23:I38 D42:I57 D61:I89 D93:I121 D125:I153">
    <cfRule type="cellIs" dxfId="2" priority="3" operator="greaterThan">
      <formula>0.85</formula>
    </cfRule>
  </conditionalFormatting>
  <conditionalFormatting sqref="Q61:Q88 Q93:Q120 Q125:Q152">
    <cfRule type="cellIs" dxfId="3" priority="4" operator="lessThan">
      <formula>450</formula>
    </cfRule>
  </conditionalFormatting>
  <conditionalFormatting sqref="Q4:Q18 Q23:Q37 Q42:Q56 Q61:Q88 Q93:Q120 Q125:Q152">
    <cfRule type="cellIs" dxfId="4" priority="5" operator="lessThan">
      <formula>900</formula>
    </cfRule>
  </conditionalFormatting>
  <conditionalFormatting sqref="O4:P18 O23:P37 O42:P56 O61:P88 O93:P120 O125:P152 O234:P241">
    <cfRule type="cellIs" dxfId="5" priority="6" operator="lessThan">
      <formula>100</formula>
    </cfRule>
  </conditionalFormatting>
  <conditionalFormatting sqref="O4:P18 O23:P37 O42:P56 O61:P88 O93:P120 O125:P152 O234:P241">
    <cfRule type="cellIs" dxfId="4" priority="7" operator="lessThan">
      <formula>150</formula>
    </cfRule>
  </conditionalFormatting>
  <conditionalFormatting sqref="D200:I203 D207:I210 D214:I217">
    <cfRule type="cellIs" dxfId="0" priority="8" operator="greaterThan">
      <formula>0.01</formula>
    </cfRule>
  </conditionalFormatting>
  <conditionalFormatting sqref="D200:I203 D207:I210 D214:I217">
    <cfRule type="cellIs" dxfId="6" priority="9" operator="lessThanOrEqual">
      <formula>0.1</formula>
    </cfRule>
  </conditionalFormatting>
  <drawing r:id="rId1"/>
</worksheet>
</file>