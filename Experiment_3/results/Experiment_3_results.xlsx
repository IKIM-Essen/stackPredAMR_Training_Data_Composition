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_MIX_CV" sheetId="1" r:id="rId5"/>
  </sheets>
  <definedNames/>
  <calcPr/>
</workbook>
</file>

<file path=xl/sharedStrings.xml><?xml version="1.0" encoding="utf-8"?>
<sst xmlns="http://schemas.openxmlformats.org/spreadsheetml/2006/main" count="368" uniqueCount="53">
  <si>
    <t>VITEK</t>
  </si>
  <si>
    <t>Std</t>
  </si>
  <si>
    <t>Target</t>
  </si>
  <si>
    <t>Accuracy</t>
  </si>
  <si>
    <t>ROC_Mean</t>
  </si>
  <si>
    <t>PR_Mean</t>
  </si>
  <si>
    <t>Precision_Mean</t>
  </si>
  <si>
    <t>Recall_Mean</t>
  </si>
  <si>
    <t>F1_Mean</t>
  </si>
  <si>
    <t>VME</t>
  </si>
  <si>
    <t>ME</t>
  </si>
  <si>
    <t>Test_Count_S</t>
  </si>
  <si>
    <t>Test_Count_R</t>
  </si>
  <si>
    <t>Train_Count_S</t>
  </si>
  <si>
    <t>Train_Count_R</t>
  </si>
  <si>
    <t>Amoxicillin-clavulanic acid_AB</t>
  </si>
  <si>
    <t>Ampicillin_AB</t>
  </si>
  <si>
    <t>Ceftriaxone_AB</t>
  </si>
  <si>
    <t>Ampicillin-sulbactam_AB</t>
  </si>
  <si>
    <t>Ciprofloxacin_AB</t>
  </si>
  <si>
    <t>Cefazolin_AB</t>
  </si>
  <si>
    <t>Sensititre</t>
  </si>
  <si>
    <t>Median</t>
  </si>
  <si>
    <t>Gentamicin_AB</t>
  </si>
  <si>
    <t>Trimethoprim-sulfamethoxazole_AB</t>
  </si>
  <si>
    <t>Mixed</t>
  </si>
  <si>
    <t>Ticarcillin-clavulanic acid_AB</t>
  </si>
  <si>
    <t>VITEK vs MIX</t>
  </si>
  <si>
    <t>VITEK Comp Mixed</t>
  </si>
  <si>
    <t>Mixed Comp VITEK</t>
  </si>
  <si>
    <t>Mixed - VITEK</t>
  </si>
  <si>
    <t>Sensititre vs MIX</t>
  </si>
  <si>
    <t>Sensititre Comp</t>
  </si>
  <si>
    <t>Mixed Comp</t>
  </si>
  <si>
    <t>Sensititre - Mix</t>
  </si>
  <si>
    <t>Sensititire vs VITEK vs MIX</t>
  </si>
  <si>
    <t>Sensititre Red</t>
  </si>
  <si>
    <t>VITEK Red</t>
  </si>
  <si>
    <t>Mixed Red</t>
  </si>
  <si>
    <t>Acc</t>
  </si>
  <si>
    <t>ROC AUC</t>
  </si>
  <si>
    <t>F1-Score</t>
  </si>
  <si>
    <t>External</t>
  </si>
  <si>
    <t>Internal</t>
  </si>
  <si>
    <t>Antimicrobial Agent</t>
  </si>
  <si>
    <t>S</t>
  </si>
  <si>
    <t>R</t>
  </si>
  <si>
    <t>Total</t>
  </si>
  <si>
    <t>Vitek count</t>
  </si>
  <si>
    <t>Amoxicillin-clavulanic acid</t>
  </si>
  <si>
    <t>Ampicillin</t>
  </si>
  <si>
    <t>Ceftriaxone</t>
  </si>
  <si>
    <t>Sensititre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</si>
</sst>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0" fontId="3" numFmtId="2" xfId="0" applyAlignment="1" applyBorder="1" applyFont="1" applyNumberFormat="1">
      <alignment horizontal="center" readingOrder="0" vertical="top"/>
    </xf>
    <xf borderId="1" fillId="0" fontId="3" numFmtId="164" xfId="0" applyAlignment="1" applyBorder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1" numFmtId="2" xfId="0" applyFont="1" applyNumberFormat="1"/>
    <xf borderId="0" fillId="0" fontId="1" numFmtId="164" xfId="0" applyFont="1" applyNumberFormat="1"/>
    <xf borderId="0" fillId="0" fontId="1" numFmtId="0" xfId="0" applyFont="1"/>
    <xf borderId="1" fillId="0" fontId="3" numFmtId="2" xfId="0" applyAlignment="1" applyBorder="1" applyFont="1" applyNumberFormat="1">
      <alignment readingOrder="0" vertical="top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ECO_MIX_CV!$D$116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ECO_MIX_CV!$C$117:$C$119</c:f>
            </c:strRef>
          </c:cat>
          <c:val>
            <c:numRef>
              <c:f>ECO_MIX_CV!$D$117:$D$119</c:f>
              <c:numCache/>
            </c:numRef>
          </c:val>
        </c:ser>
        <c:ser>
          <c:idx val="1"/>
          <c:order val="1"/>
          <c:tx>
            <c:strRef>
              <c:f>ECO_MIX_CV!$E$116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ECO_MIX_CV!$C$117:$C$119</c:f>
            </c:strRef>
          </c:cat>
          <c:val>
            <c:numRef>
              <c:f>ECO_MIX_CV!$E$117:$E$119</c:f>
              <c:numCache/>
            </c:numRef>
          </c:val>
        </c:ser>
        <c:ser>
          <c:idx val="2"/>
          <c:order val="2"/>
          <c:tx>
            <c:strRef>
              <c:f>ECO_MIX_CV!$F$116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ECO_MIX_CV!$C$117:$C$119</c:f>
            </c:strRef>
          </c:cat>
          <c:val>
            <c:numRef>
              <c:f>ECO_MIX_CV!$F$117:$F$119</c:f>
              <c:numCache/>
            </c:numRef>
          </c:val>
        </c:ser>
        <c:axId val="1383927011"/>
        <c:axId val="2048478021"/>
      </c:barChart>
      <c:catAx>
        <c:axId val="1383927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478021"/>
      </c:catAx>
      <c:valAx>
        <c:axId val="2048478021"/>
        <c:scaling>
          <c:orientation val="minMax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927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666750</xdr:colOff>
      <xdr:row>117</xdr:row>
      <xdr:rowOff>133350</xdr:rowOff>
    </xdr:from>
    <xdr:ext cx="47053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2.25"/>
  </cols>
  <sheetData>
    <row r="1">
      <c r="A1" s="1"/>
      <c r="B1" s="1" t="s">
        <v>0</v>
      </c>
      <c r="O1" s="2" t="s">
        <v>1</v>
      </c>
    </row>
    <row r="2">
      <c r="A2" s="3" t="s">
        <v>2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</row>
    <row r="3">
      <c r="A3" s="4" t="s">
        <v>15</v>
      </c>
      <c r="B3" s="4" t="s">
        <v>15</v>
      </c>
      <c r="C3" s="5">
        <v>0.897193702693242</v>
      </c>
      <c r="D3" s="5">
        <v>0.877808305202935</v>
      </c>
      <c r="E3" s="5">
        <v>0.876398240380017</v>
      </c>
      <c r="F3" s="5">
        <v>0.924327349909977</v>
      </c>
      <c r="G3" s="5">
        <v>0.875580223750955</v>
      </c>
      <c r="H3" s="5">
        <v>0.887641180623526</v>
      </c>
      <c r="I3" s="6">
        <v>10.2806297306757</v>
      </c>
      <c r="J3" s="6">
        <v>0.0</v>
      </c>
      <c r="K3" s="7">
        <v>51.0</v>
      </c>
      <c r="L3" s="7">
        <v>36.75</v>
      </c>
      <c r="M3" s="7">
        <v>845.0</v>
      </c>
      <c r="N3" s="7">
        <v>307.0</v>
      </c>
      <c r="O3" s="7">
        <v>0.0153408658626913</v>
      </c>
      <c r="P3" s="7">
        <v>0.025913805932904</v>
      </c>
      <c r="Q3" s="7">
        <v>0.0251697865234952</v>
      </c>
      <c r="R3" s="7">
        <v>0.0140478344043925</v>
      </c>
      <c r="S3" s="7">
        <v>0.0182729397453658</v>
      </c>
      <c r="T3" s="7">
        <v>0.0151346524529748</v>
      </c>
      <c r="U3" s="7">
        <v>1.53408658626913</v>
      </c>
      <c r="V3" s="7">
        <v>0.0</v>
      </c>
    </row>
    <row r="4">
      <c r="A4" s="4" t="s">
        <v>16</v>
      </c>
      <c r="B4" s="4" t="s">
        <v>16</v>
      </c>
      <c r="C4" s="5">
        <v>0.553921568627451</v>
      </c>
      <c r="D4" s="5">
        <v>0.845001874582092</v>
      </c>
      <c r="E4" s="5">
        <v>0.81728153678026</v>
      </c>
      <c r="F4" s="5">
        <v>0.276960784313725</v>
      </c>
      <c r="G4" s="5">
        <v>0.5</v>
      </c>
      <c r="H4" s="5">
        <v>0.356447641741899</v>
      </c>
      <c r="I4" s="6">
        <v>0.0</v>
      </c>
      <c r="J4" s="6">
        <v>44.6078431372549</v>
      </c>
      <c r="K4" s="7">
        <v>68.25</v>
      </c>
      <c r="L4" s="7">
        <v>84.75</v>
      </c>
      <c r="M4" s="7">
        <v>32.0</v>
      </c>
      <c r="N4" s="7">
        <v>230.0</v>
      </c>
      <c r="O4" s="7">
        <v>0.00849044513514156</v>
      </c>
      <c r="P4" s="7">
        <v>0.0159220357229479</v>
      </c>
      <c r="Q4" s="7">
        <v>0.0168663572278003</v>
      </c>
      <c r="R4" s="7">
        <v>0.00424522256757078</v>
      </c>
      <c r="S4" s="7">
        <v>0.0</v>
      </c>
      <c r="T4" s="7">
        <v>0.00352044482457089</v>
      </c>
      <c r="U4" s="7">
        <v>0.0</v>
      </c>
      <c r="V4" s="7">
        <v>0.849044513514155</v>
      </c>
    </row>
    <row r="5">
      <c r="A5" s="4" t="s">
        <v>17</v>
      </c>
      <c r="B5" s="4" t="s">
        <v>18</v>
      </c>
      <c r="C5" s="5">
        <v>0.309404717658145</v>
      </c>
      <c r="D5" s="5">
        <v>0.820728347865754</v>
      </c>
      <c r="E5" s="5">
        <v>0.744796295739644</v>
      </c>
      <c r="F5" s="5">
        <v>0.637490031897926</v>
      </c>
      <c r="G5" s="5">
        <v>0.531059770809341</v>
      </c>
      <c r="H5" s="5">
        <v>0.272846106589707</v>
      </c>
      <c r="I5" s="6">
        <v>0.0</v>
      </c>
      <c r="J5" s="6">
        <v>69.0595282341854</v>
      </c>
      <c r="K5" s="7">
        <v>48.0</v>
      </c>
      <c r="L5" s="7">
        <v>17.25</v>
      </c>
      <c r="M5" s="7">
        <v>6.0</v>
      </c>
      <c r="N5" s="7">
        <v>60.0</v>
      </c>
      <c r="O5" s="7">
        <v>0.0274683320885338</v>
      </c>
      <c r="P5" s="7">
        <v>0.0312635234934781</v>
      </c>
      <c r="Q5" s="7">
        <v>0.0442919303875623</v>
      </c>
      <c r="R5" s="7">
        <v>0.0197750338321906</v>
      </c>
      <c r="S5" s="7">
        <v>0.0126100814280055</v>
      </c>
      <c r="T5" s="7">
        <v>0.0187247397288599</v>
      </c>
      <c r="U5" s="7">
        <v>0.0</v>
      </c>
      <c r="V5" s="7">
        <v>2.74683320885338</v>
      </c>
    </row>
    <row r="6">
      <c r="A6" s="4" t="s">
        <v>19</v>
      </c>
      <c r="B6" s="4" t="s">
        <v>20</v>
      </c>
      <c r="C6" s="5">
        <v>0.160687092646177</v>
      </c>
      <c r="D6" s="5">
        <v>0.595760895427529</v>
      </c>
      <c r="E6" s="5">
        <v>0.568378246686082</v>
      </c>
      <c r="F6" s="5">
        <v>0.554519317673094</v>
      </c>
      <c r="G6" s="5">
        <v>0.532240842078464</v>
      </c>
      <c r="H6" s="5">
        <v>0.158390115149187</v>
      </c>
      <c r="I6" s="6">
        <v>0.0</v>
      </c>
      <c r="J6" s="6">
        <v>83.9312907353822</v>
      </c>
      <c r="K6" s="7">
        <v>58.5</v>
      </c>
      <c r="L6" s="7">
        <v>6.75</v>
      </c>
      <c r="M6" s="7">
        <v>3.0</v>
      </c>
      <c r="N6" s="7">
        <v>104.0</v>
      </c>
      <c r="O6" s="7">
        <v>0.0197015932739514</v>
      </c>
      <c r="P6" s="7">
        <v>0.021801134026802</v>
      </c>
      <c r="Q6" s="7">
        <v>0.00458980834383988</v>
      </c>
      <c r="R6" s="7">
        <v>0.00807533187408378</v>
      </c>
      <c r="S6" s="7">
        <v>0.00962924308936445</v>
      </c>
      <c r="T6" s="7">
        <v>0.0205427444355536</v>
      </c>
      <c r="U6" s="7">
        <v>0.0</v>
      </c>
      <c r="V6" s="7">
        <v>1.97015932739514</v>
      </c>
    </row>
    <row r="7">
      <c r="B7" s="4" t="s">
        <v>17</v>
      </c>
      <c r="C7" s="5">
        <v>0.318627450980392</v>
      </c>
      <c r="D7" s="5">
        <v>0.910220282616818</v>
      </c>
      <c r="E7" s="5">
        <v>0.907431422024562</v>
      </c>
      <c r="F7" s="5">
        <v>0.615768350232095</v>
      </c>
      <c r="G7" s="5">
        <v>0.570821598363971</v>
      </c>
      <c r="H7" s="5">
        <v>0.310940598142905</v>
      </c>
      <c r="I7" s="6">
        <v>0.0</v>
      </c>
      <c r="J7" s="6">
        <v>68.1372549019607</v>
      </c>
      <c r="K7" s="7">
        <v>121.5</v>
      </c>
      <c r="L7" s="7">
        <v>31.5</v>
      </c>
      <c r="M7" s="7">
        <v>85.0</v>
      </c>
      <c r="N7" s="7">
        <v>151.0</v>
      </c>
      <c r="O7" s="7">
        <v>0.0300848899338594</v>
      </c>
      <c r="P7" s="7">
        <v>0.003993944202134</v>
      </c>
      <c r="Q7" s="7">
        <v>0.00350402938529143</v>
      </c>
      <c r="R7" s="7">
        <v>0.0213401180581512</v>
      </c>
      <c r="S7" s="7">
        <v>0.00661940712561596</v>
      </c>
      <c r="T7" s="7">
        <v>0.0264300913445598</v>
      </c>
      <c r="U7" s="7">
        <v>0.0</v>
      </c>
      <c r="V7" s="7">
        <v>3.00848899338594</v>
      </c>
    </row>
    <row r="8">
      <c r="B8" s="4" t="s">
        <v>19</v>
      </c>
      <c r="C8" s="5">
        <v>0.818627450980392</v>
      </c>
      <c r="D8" s="5">
        <v>0.794902522326474</v>
      </c>
      <c r="E8" s="5">
        <v>0.692375079002281</v>
      </c>
      <c r="F8" s="5">
        <v>0.647517529992296</v>
      </c>
      <c r="G8" s="5">
        <v>0.735130119245803</v>
      </c>
      <c r="H8" s="5">
        <v>0.669585126757056</v>
      </c>
      <c r="I8" s="6">
        <v>4.41176470588235</v>
      </c>
      <c r="J8" s="6">
        <v>13.7254901960784</v>
      </c>
      <c r="K8" s="7">
        <v>135.0</v>
      </c>
      <c r="L8" s="7">
        <v>18.0</v>
      </c>
      <c r="M8" s="7">
        <v>695.0</v>
      </c>
      <c r="N8" s="7">
        <v>558.0</v>
      </c>
      <c r="O8" s="7">
        <v>0.0116690007002334</v>
      </c>
      <c r="P8" s="7">
        <v>0.0191587859192585</v>
      </c>
      <c r="Q8" s="7">
        <v>0.016769434282483</v>
      </c>
      <c r="R8" s="7">
        <v>0.0162520155369539</v>
      </c>
      <c r="S8" s="7">
        <v>0.0061293146713846</v>
      </c>
      <c r="T8" s="7">
        <v>0.015952650028158</v>
      </c>
      <c r="U8" s="7">
        <v>0.54193215528683</v>
      </c>
      <c r="V8" s="7">
        <v>1.66634624627215</v>
      </c>
    </row>
    <row r="10">
      <c r="B10" s="1" t="s">
        <v>21</v>
      </c>
      <c r="O10" s="2" t="s">
        <v>1</v>
      </c>
    </row>
    <row r="11">
      <c r="A11" s="3" t="s">
        <v>2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3</v>
      </c>
      <c r="P11" s="3" t="s">
        <v>4</v>
      </c>
      <c r="Q11" s="3" t="s">
        <v>5</v>
      </c>
      <c r="R11" s="3" t="s">
        <v>6</v>
      </c>
      <c r="S11" s="3" t="s">
        <v>7</v>
      </c>
      <c r="T11" s="3" t="s">
        <v>8</v>
      </c>
      <c r="U11" s="3" t="s">
        <v>9</v>
      </c>
      <c r="V11" s="3" t="s">
        <v>10</v>
      </c>
    </row>
    <row r="12">
      <c r="A12" s="4" t="s">
        <v>15</v>
      </c>
      <c r="B12" s="4" t="s">
        <v>15</v>
      </c>
      <c r="C12" s="5">
        <v>0.757873966493926</v>
      </c>
      <c r="D12" s="5">
        <v>0.846828737800001</v>
      </c>
      <c r="E12" s="5">
        <v>0.861334386901876</v>
      </c>
      <c r="F12" s="5">
        <v>0.765569637657125</v>
      </c>
      <c r="G12" s="5">
        <v>0.760439686810835</v>
      </c>
      <c r="H12" s="5">
        <v>0.751774770273143</v>
      </c>
      <c r="I12" s="6">
        <v>11.5862874443923</v>
      </c>
      <c r="J12" s="6">
        <v>12.626315906215</v>
      </c>
      <c r="K12" s="7">
        <v>51.0</v>
      </c>
      <c r="L12" s="7">
        <v>36.75</v>
      </c>
      <c r="M12" s="7">
        <v>15.75</v>
      </c>
      <c r="N12" s="7">
        <v>12.75</v>
      </c>
      <c r="O12" s="7">
        <v>0.0868365766869921</v>
      </c>
      <c r="P12" s="7">
        <v>0.0351436104207786</v>
      </c>
      <c r="Q12" s="7">
        <v>0.0323374295149665</v>
      </c>
      <c r="R12" s="7">
        <v>0.0911618410517623</v>
      </c>
      <c r="S12" s="7">
        <v>0.0750689640202125</v>
      </c>
      <c r="T12" s="7">
        <v>0.0878659570049596</v>
      </c>
      <c r="U12" s="7">
        <v>3.02476967917939</v>
      </c>
      <c r="V12" s="7">
        <v>10.043165542524</v>
      </c>
    </row>
    <row r="13">
      <c r="A13" s="4" t="s">
        <v>16</v>
      </c>
      <c r="B13" s="4" t="s">
        <v>16</v>
      </c>
      <c r="C13" s="5">
        <v>0.895424836601307</v>
      </c>
      <c r="D13" s="5">
        <v>0.931901890650268</v>
      </c>
      <c r="E13" s="5">
        <v>0.913322044287663</v>
      </c>
      <c r="F13" s="5">
        <v>0.905768980275944</v>
      </c>
      <c r="G13" s="5">
        <v>0.904812022175079</v>
      </c>
      <c r="H13" s="5">
        <v>0.895114646470895</v>
      </c>
      <c r="I13" s="6">
        <v>10.2941176470588</v>
      </c>
      <c r="J13" s="6">
        <v>0.163398692810457</v>
      </c>
      <c r="K13" s="7">
        <v>68.25</v>
      </c>
      <c r="L13" s="7">
        <v>84.75</v>
      </c>
      <c r="M13" s="7">
        <v>22.75</v>
      </c>
      <c r="N13" s="7">
        <v>28.0</v>
      </c>
      <c r="O13" s="7">
        <v>0.0394870783450802</v>
      </c>
      <c r="P13" s="7">
        <v>0.0193834831721742</v>
      </c>
      <c r="Q13" s="7">
        <v>0.0259225164083814</v>
      </c>
      <c r="R13" s="7">
        <v>0.0286407035954097</v>
      </c>
      <c r="S13" s="7">
        <v>0.0377665735711849</v>
      </c>
      <c r="T13" s="7">
        <v>0.0397802313775305</v>
      </c>
      <c r="U13" s="7">
        <v>3.67919289189467</v>
      </c>
      <c r="V13" s="7">
        <v>0.283014837838051</v>
      </c>
    </row>
    <row r="14">
      <c r="A14" s="4" t="s">
        <v>17</v>
      </c>
      <c r="B14" s="4" t="s">
        <v>17</v>
      </c>
      <c r="C14" s="5">
        <v>0.897058823529411</v>
      </c>
      <c r="D14" s="5">
        <v>0.857351571943458</v>
      </c>
      <c r="E14" s="5">
        <v>0.856063062326353</v>
      </c>
      <c r="F14" s="5">
        <v>0.869524474966855</v>
      </c>
      <c r="G14" s="5">
        <v>0.814768286714946</v>
      </c>
      <c r="H14" s="5">
        <v>0.835084470547892</v>
      </c>
      <c r="I14" s="6">
        <v>6.86274509803921</v>
      </c>
      <c r="J14" s="6">
        <v>3.4313725490196</v>
      </c>
      <c r="K14" s="7">
        <v>121.5</v>
      </c>
      <c r="L14" s="7">
        <v>31.5</v>
      </c>
      <c r="M14" s="7">
        <v>40.0</v>
      </c>
      <c r="N14" s="7">
        <v>10.75</v>
      </c>
      <c r="O14" s="7">
        <v>0.0880990233118206</v>
      </c>
      <c r="P14" s="7">
        <v>0.108914741964349</v>
      </c>
      <c r="Q14" s="7">
        <v>0.118927801869014</v>
      </c>
      <c r="R14" s="7">
        <v>0.142492331873047</v>
      </c>
      <c r="S14" s="7">
        <v>0.125797340874213</v>
      </c>
      <c r="T14" s="7">
        <v>0.129937316626524</v>
      </c>
      <c r="U14" s="7">
        <v>5.27957334032794</v>
      </c>
      <c r="V14" s="7">
        <v>4.01242782934924</v>
      </c>
    </row>
    <row r="15">
      <c r="A15" s="4" t="s">
        <v>19</v>
      </c>
      <c r="B15" s="4" t="s">
        <v>19</v>
      </c>
      <c r="C15" s="5">
        <v>0.851307189542483</v>
      </c>
      <c r="D15" s="5">
        <v>0.693265822594695</v>
      </c>
      <c r="E15" s="5">
        <v>0.599482656652307</v>
      </c>
      <c r="F15" s="5">
        <v>0.537177956571377</v>
      </c>
      <c r="G15" s="5">
        <v>0.517864219043147</v>
      </c>
      <c r="H15" s="5">
        <v>0.50349558546983</v>
      </c>
      <c r="I15" s="6">
        <v>10.7843137254901</v>
      </c>
      <c r="J15" s="6">
        <v>4.08496732026143</v>
      </c>
      <c r="K15" s="7">
        <v>135.0</v>
      </c>
      <c r="L15" s="7">
        <v>18.0</v>
      </c>
      <c r="M15" s="7">
        <v>44.75</v>
      </c>
      <c r="N15" s="7">
        <v>6.0</v>
      </c>
      <c r="O15" s="7">
        <v>0.0213671516840229</v>
      </c>
      <c r="P15" s="7">
        <v>0.0275810432938732</v>
      </c>
      <c r="Q15" s="7">
        <v>0.0298893312685903</v>
      </c>
      <c r="R15" s="7">
        <v>0.102284599180468</v>
      </c>
      <c r="S15" s="7">
        <v>0.0408507625727918</v>
      </c>
      <c r="T15" s="7">
        <v>0.0480227756365422</v>
      </c>
      <c r="U15" s="7">
        <v>1.49757375652151</v>
      </c>
      <c r="V15" s="7">
        <v>3.43914463723026</v>
      </c>
    </row>
    <row r="16">
      <c r="A16" s="4" t="s">
        <v>22</v>
      </c>
      <c r="B16" s="4" t="s">
        <v>23</v>
      </c>
      <c r="C16" s="5">
        <v>0.964052287581699</v>
      </c>
      <c r="D16" s="5">
        <v>0.96296117675428</v>
      </c>
      <c r="E16" s="5">
        <v>0.882893586061835</v>
      </c>
      <c r="F16" s="5">
        <v>0.856894965786219</v>
      </c>
      <c r="G16" s="5">
        <v>0.715625</v>
      </c>
      <c r="H16" s="5">
        <v>0.734564723104883</v>
      </c>
      <c r="I16" s="6">
        <v>3.59477124183006</v>
      </c>
      <c r="J16" s="6">
        <v>0.0</v>
      </c>
      <c r="K16" s="7">
        <v>144.0</v>
      </c>
      <c r="L16" s="7">
        <v>9.0</v>
      </c>
      <c r="M16" s="7">
        <v>47.25</v>
      </c>
      <c r="N16" s="7">
        <v>3.5</v>
      </c>
      <c r="O16" s="7">
        <v>0.0271458296173793</v>
      </c>
      <c r="P16" s="7">
        <v>0.0339716874205487</v>
      </c>
      <c r="Q16" s="7">
        <v>0.100833962367151</v>
      </c>
      <c r="R16" s="7">
        <v>0.225172541163506</v>
      </c>
      <c r="S16" s="7">
        <v>0.202595463609134</v>
      </c>
      <c r="T16" s="7">
        <v>0.212098866685821</v>
      </c>
      <c r="U16" s="7">
        <v>2.71458296173793</v>
      </c>
      <c r="V16" s="7">
        <v>0.0</v>
      </c>
    </row>
    <row r="17">
      <c r="B17" s="4" t="s">
        <v>24</v>
      </c>
      <c r="C17" s="5">
        <v>0.916666666666666</v>
      </c>
      <c r="D17" s="5">
        <v>0.971845918154815</v>
      </c>
      <c r="E17" s="5">
        <v>0.938237806378846</v>
      </c>
      <c r="F17" s="5">
        <v>0.876363091386594</v>
      </c>
      <c r="G17" s="5">
        <v>0.902469705557509</v>
      </c>
      <c r="H17" s="5">
        <v>0.879358088071056</v>
      </c>
      <c r="I17" s="6">
        <v>2.77777777777777</v>
      </c>
      <c r="J17" s="6">
        <v>5.55555555555555</v>
      </c>
      <c r="K17" s="7">
        <v>120.75</v>
      </c>
      <c r="L17" s="7">
        <v>32.25</v>
      </c>
      <c r="M17" s="7">
        <v>40.5</v>
      </c>
      <c r="N17" s="7">
        <v>10.25</v>
      </c>
      <c r="O17" s="7">
        <v>0.0125508917448833</v>
      </c>
      <c r="P17" s="7">
        <v>0.0167117792702444</v>
      </c>
      <c r="Q17" s="7">
        <v>0.042071864851355</v>
      </c>
      <c r="R17" s="7">
        <v>0.0254713760691148</v>
      </c>
      <c r="S17" s="7">
        <v>0.0552143344308196</v>
      </c>
      <c r="T17" s="7">
        <v>0.0201552451257731</v>
      </c>
      <c r="U17" s="7">
        <v>3.21443064916764</v>
      </c>
      <c r="V17" s="7">
        <v>3.08300036995313</v>
      </c>
    </row>
    <row r="19">
      <c r="B19" s="1" t="s">
        <v>25</v>
      </c>
    </row>
    <row r="20"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3" t="s">
        <v>9</v>
      </c>
      <c r="J20" s="3" t="s">
        <v>10</v>
      </c>
      <c r="K20" s="3" t="s">
        <v>11</v>
      </c>
      <c r="L20" s="3" t="s">
        <v>12</v>
      </c>
      <c r="M20" s="3" t="s">
        <v>13</v>
      </c>
      <c r="N20" s="3" t="s">
        <v>14</v>
      </c>
      <c r="O20" s="3" t="s">
        <v>3</v>
      </c>
      <c r="P20" s="3" t="s">
        <v>4</v>
      </c>
      <c r="Q20" s="3" t="s">
        <v>5</v>
      </c>
      <c r="R20" s="3" t="s">
        <v>6</v>
      </c>
      <c r="S20" s="3" t="s">
        <v>7</v>
      </c>
      <c r="T20" s="3" t="s">
        <v>8</v>
      </c>
      <c r="U20" s="3" t="s">
        <v>9</v>
      </c>
      <c r="V20" s="3" t="s">
        <v>10</v>
      </c>
    </row>
    <row r="21">
      <c r="B21" s="4" t="s">
        <v>15</v>
      </c>
      <c r="C21" s="5">
        <v>0.848579323061974</v>
      </c>
      <c r="D21" s="5">
        <v>0.866344335884879</v>
      </c>
      <c r="E21" s="5">
        <v>0.873404503504812</v>
      </c>
      <c r="F21" s="5">
        <v>0.874541002298355</v>
      </c>
      <c r="G21" s="5">
        <v>0.81987940653698</v>
      </c>
      <c r="H21" s="5">
        <v>0.831272683968723</v>
      </c>
      <c r="I21" s="6">
        <v>13.1381796876394</v>
      </c>
      <c r="J21" s="6">
        <v>2.00388800616303</v>
      </c>
      <c r="K21" s="7">
        <v>51.0</v>
      </c>
      <c r="L21" s="7">
        <v>36.75</v>
      </c>
      <c r="M21" s="7">
        <v>862.0</v>
      </c>
      <c r="N21" s="7">
        <v>319.25</v>
      </c>
      <c r="O21" s="7">
        <v>0.0158834320034217</v>
      </c>
      <c r="P21" s="7">
        <v>0.0354645322681632</v>
      </c>
      <c r="Q21" s="7">
        <v>0.0297070942742779</v>
      </c>
      <c r="R21" s="7">
        <v>0.0233559993106091</v>
      </c>
      <c r="S21" s="7">
        <v>0.0318572868579346</v>
      </c>
      <c r="T21" s="7">
        <v>0.0244839760286165</v>
      </c>
      <c r="U21" s="7">
        <v>1.47824769821762</v>
      </c>
      <c r="V21" s="7">
        <v>1.71129908412366</v>
      </c>
    </row>
    <row r="22">
      <c r="B22" s="4" t="s">
        <v>16</v>
      </c>
      <c r="C22" s="5">
        <v>0.666666666666666</v>
      </c>
      <c r="D22" s="5">
        <v>0.931103552788093</v>
      </c>
      <c r="E22" s="5">
        <v>0.906941931503088</v>
      </c>
      <c r="F22" s="5">
        <v>0.726851796214673</v>
      </c>
      <c r="G22" s="5">
        <v>0.628916799969512</v>
      </c>
      <c r="H22" s="5">
        <v>0.580556456685517</v>
      </c>
      <c r="I22" s="6">
        <v>1.96078431372549</v>
      </c>
      <c r="J22" s="6">
        <v>31.3725490196078</v>
      </c>
      <c r="K22" s="7">
        <v>68.25</v>
      </c>
      <c r="L22" s="7">
        <v>84.75</v>
      </c>
      <c r="M22" s="7">
        <v>54.75</v>
      </c>
      <c r="N22" s="7">
        <v>258.25</v>
      </c>
      <c r="O22" s="7">
        <v>0.0853435611581738</v>
      </c>
      <c r="P22" s="7">
        <v>0.00802073258151944</v>
      </c>
      <c r="Q22" s="7">
        <v>0.0123011681716787</v>
      </c>
      <c r="R22" s="7">
        <v>0.0768645875752995</v>
      </c>
      <c r="S22" s="7">
        <v>0.102606224855061</v>
      </c>
      <c r="T22" s="7">
        <v>0.145217927347584</v>
      </c>
      <c r="U22" s="7">
        <v>0.80048684404679</v>
      </c>
      <c r="V22" s="7">
        <v>9.31229205802288</v>
      </c>
    </row>
    <row r="23">
      <c r="B23" s="4" t="s">
        <v>18</v>
      </c>
      <c r="C23" s="5">
        <v>0.803336602912912</v>
      </c>
      <c r="D23" s="5">
        <v>0.907836129729168</v>
      </c>
      <c r="E23" s="5">
        <v>0.853549276296123</v>
      </c>
      <c r="F23" s="5">
        <v>0.76594468031968</v>
      </c>
      <c r="G23" s="5">
        <v>0.76479934319996</v>
      </c>
      <c r="H23" s="5">
        <v>0.746746130749216</v>
      </c>
      <c r="I23" s="6">
        <v>9.14864214653744</v>
      </c>
      <c r="J23" s="6">
        <v>10.5176975621713</v>
      </c>
      <c r="K23" s="7">
        <v>48.0</v>
      </c>
      <c r="L23" s="7">
        <v>17.25</v>
      </c>
      <c r="M23" s="7">
        <v>22.0</v>
      </c>
      <c r="N23" s="7">
        <v>65.75</v>
      </c>
      <c r="O23" s="7">
        <v>0.0545445134065361</v>
      </c>
      <c r="P23" s="7">
        <v>0.0219686590169667</v>
      </c>
      <c r="Q23" s="7">
        <v>0.0304376075792456</v>
      </c>
      <c r="R23" s="7">
        <v>0.0659958963046599</v>
      </c>
      <c r="S23" s="7">
        <v>0.0761216132260727</v>
      </c>
      <c r="T23" s="7">
        <v>0.0745816856958573</v>
      </c>
      <c r="U23" s="7">
        <v>6.36719100351095</v>
      </c>
      <c r="V23" s="7">
        <v>6.85817654149947</v>
      </c>
    </row>
    <row r="24">
      <c r="B24" s="4" t="s">
        <v>20</v>
      </c>
      <c r="C24" s="5">
        <v>0.882050207577579</v>
      </c>
      <c r="D24" s="5">
        <v>0.729500135391558</v>
      </c>
      <c r="E24" s="5">
        <v>0.645372087597727</v>
      </c>
      <c r="F24" s="5">
        <v>0.611357384499726</v>
      </c>
      <c r="G24" s="5">
        <v>0.618263629778113</v>
      </c>
      <c r="H24" s="5">
        <v>0.614291468642567</v>
      </c>
      <c r="I24" s="6">
        <v>7.2505240414109</v>
      </c>
      <c r="J24" s="6">
        <v>4.54445520083119</v>
      </c>
      <c r="K24" s="7">
        <v>58.5</v>
      </c>
      <c r="L24" s="7">
        <v>6.75</v>
      </c>
      <c r="M24" s="7">
        <v>22.5</v>
      </c>
      <c r="N24" s="7">
        <v>106.25</v>
      </c>
      <c r="O24" s="7">
        <v>0.022941097408653</v>
      </c>
      <c r="P24" s="7">
        <v>0.0814711109135915</v>
      </c>
      <c r="Q24" s="7">
        <v>0.031957136798476</v>
      </c>
      <c r="R24" s="7">
        <v>0.0920918542841882</v>
      </c>
      <c r="S24" s="7">
        <v>0.0690218673776218</v>
      </c>
      <c r="T24" s="7">
        <v>0.0808144927272399</v>
      </c>
      <c r="U24" s="7">
        <v>1.58105531907575</v>
      </c>
      <c r="V24" s="7">
        <v>2.7783461904681</v>
      </c>
    </row>
    <row r="25">
      <c r="B25" s="4" t="s">
        <v>17</v>
      </c>
      <c r="C25" s="5">
        <v>0.683006535947712</v>
      </c>
      <c r="D25" s="5">
        <v>0.928125699643499</v>
      </c>
      <c r="E25" s="5">
        <v>0.929603668451953</v>
      </c>
      <c r="F25" s="5">
        <v>0.679934182691654</v>
      </c>
      <c r="G25" s="5">
        <v>0.760295896636873</v>
      </c>
      <c r="H25" s="5">
        <v>0.645074499553593</v>
      </c>
      <c r="I25" s="6">
        <v>1.96078431372549</v>
      </c>
      <c r="J25" s="6">
        <v>29.7385620915032</v>
      </c>
      <c r="K25" s="7">
        <v>121.5</v>
      </c>
      <c r="L25" s="7">
        <v>31.5</v>
      </c>
      <c r="M25" s="7">
        <v>125.5</v>
      </c>
      <c r="N25" s="7">
        <v>161.5</v>
      </c>
      <c r="O25" s="7">
        <v>0.0795803638031759</v>
      </c>
      <c r="P25" s="7">
        <v>0.0225650665824885</v>
      </c>
      <c r="Q25" s="7">
        <v>0.0185587044170374</v>
      </c>
      <c r="R25" s="7">
        <v>0.0504457725432507</v>
      </c>
      <c r="S25" s="7">
        <v>0.0391698600328773</v>
      </c>
      <c r="T25" s="7">
        <v>0.0753392102657791</v>
      </c>
      <c r="U25" s="7">
        <v>1.2227638518869</v>
      </c>
      <c r="V25" s="7">
        <v>9.03876907577734</v>
      </c>
    </row>
    <row r="26">
      <c r="B26" s="4" t="s">
        <v>19</v>
      </c>
      <c r="C26" s="5">
        <v>0.787581699346405</v>
      </c>
      <c r="D26" s="5">
        <v>0.786363787625886</v>
      </c>
      <c r="E26" s="5">
        <v>0.672928622932384</v>
      </c>
      <c r="F26" s="5">
        <v>0.633935883935884</v>
      </c>
      <c r="G26" s="5">
        <v>0.723719064236015</v>
      </c>
      <c r="H26" s="5">
        <v>0.645847404351729</v>
      </c>
      <c r="I26" s="6">
        <v>4.24836601307189</v>
      </c>
      <c r="J26" s="6">
        <v>16.9934640522875</v>
      </c>
      <c r="K26" s="7">
        <v>135.0</v>
      </c>
      <c r="L26" s="7">
        <v>18.0</v>
      </c>
      <c r="M26" s="7">
        <v>740.0</v>
      </c>
      <c r="N26" s="7">
        <v>564.0</v>
      </c>
      <c r="O26" s="7">
        <v>0.0507325970466013</v>
      </c>
      <c r="P26" s="7">
        <v>0.01116034647672</v>
      </c>
      <c r="Q26" s="7">
        <v>0.0352892407743014</v>
      </c>
      <c r="R26" s="7">
        <v>0.0414852263098304</v>
      </c>
      <c r="S26" s="7">
        <v>0.0262496679356148</v>
      </c>
      <c r="T26" s="7">
        <v>0.0517848905488407</v>
      </c>
      <c r="U26" s="7">
        <v>0.566029675676104</v>
      </c>
      <c r="V26" s="7">
        <v>5.48786131494988</v>
      </c>
    </row>
    <row r="27">
      <c r="B27" s="4" t="s">
        <v>23</v>
      </c>
      <c r="C27" s="5">
        <v>1.0</v>
      </c>
      <c r="D27" s="5">
        <v>1.0</v>
      </c>
      <c r="E27" s="5">
        <v>1.0</v>
      </c>
      <c r="F27" s="5">
        <v>1.0</v>
      </c>
      <c r="G27" s="5">
        <v>1.0</v>
      </c>
      <c r="H27" s="5">
        <v>1.0</v>
      </c>
      <c r="I27" s="6">
        <v>0.0</v>
      </c>
      <c r="J27" s="6">
        <v>0.0</v>
      </c>
      <c r="K27" s="7">
        <v>144.0</v>
      </c>
      <c r="L27" s="7">
        <v>9.0</v>
      </c>
      <c r="M27" s="7">
        <v>1113.0</v>
      </c>
      <c r="N27" s="7">
        <v>197.0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</row>
    <row r="28">
      <c r="B28" s="4" t="s">
        <v>26</v>
      </c>
      <c r="C28" s="5">
        <v>0.804820726641206</v>
      </c>
      <c r="D28" s="5">
        <v>0.764586993466303</v>
      </c>
      <c r="E28" s="5">
        <v>0.681109325455154</v>
      </c>
      <c r="F28" s="5">
        <v>0.530115069356872</v>
      </c>
      <c r="G28" s="5">
        <v>0.566406366621883</v>
      </c>
      <c r="H28" s="5">
        <v>0.535854812909183</v>
      </c>
      <c r="I28" s="6">
        <v>13.260724398322</v>
      </c>
      <c r="J28" s="6">
        <v>6.2572029375574</v>
      </c>
      <c r="K28" s="7">
        <v>54.75</v>
      </c>
      <c r="L28" s="7">
        <v>10.5</v>
      </c>
      <c r="M28" s="7">
        <v>18.25</v>
      </c>
      <c r="N28" s="7">
        <v>3.5</v>
      </c>
      <c r="O28" s="7">
        <v>0.0142576514531055</v>
      </c>
      <c r="P28" s="7">
        <v>0.0875125088287056</v>
      </c>
      <c r="Q28" s="7">
        <v>0.0840213873895409</v>
      </c>
      <c r="R28" s="7">
        <v>0.120838541762614</v>
      </c>
      <c r="S28" s="7">
        <v>0.0922747368619176</v>
      </c>
      <c r="T28" s="7">
        <v>0.0927277220613107</v>
      </c>
      <c r="U28" s="7">
        <v>5.17087194256818</v>
      </c>
      <c r="V28" s="7">
        <v>5.35556854894722</v>
      </c>
    </row>
    <row r="29">
      <c r="B29" s="4" t="s">
        <v>24</v>
      </c>
      <c r="C29" s="5">
        <v>0.21078431372549</v>
      </c>
      <c r="D29" s="5">
        <v>0.736221290770663</v>
      </c>
      <c r="E29" s="5">
        <v>0.739309043859444</v>
      </c>
      <c r="F29" s="5">
        <v>0.105392156862745</v>
      </c>
      <c r="G29" s="5">
        <v>0.5</v>
      </c>
      <c r="H29" s="5">
        <v>0.173987498987498</v>
      </c>
      <c r="I29" s="6">
        <v>0.0</v>
      </c>
      <c r="J29" s="6">
        <v>78.9215686274509</v>
      </c>
      <c r="K29" s="7">
        <v>120.75</v>
      </c>
      <c r="L29" s="7">
        <v>32.25</v>
      </c>
      <c r="M29" s="7">
        <v>40.25</v>
      </c>
      <c r="N29" s="7">
        <v>347.75</v>
      </c>
      <c r="O29" s="7">
        <v>0.0133747594311641</v>
      </c>
      <c r="P29" s="7">
        <v>0.223067261295031</v>
      </c>
      <c r="Q29" s="7">
        <v>0.190833728153562</v>
      </c>
      <c r="R29" s="7">
        <v>0.00668737971558208</v>
      </c>
      <c r="S29" s="7">
        <v>0.0</v>
      </c>
      <c r="T29" s="7">
        <v>0.00919508512554242</v>
      </c>
      <c r="U29" s="7">
        <v>0.0</v>
      </c>
      <c r="V29" s="7">
        <v>1.3374759431164</v>
      </c>
    </row>
    <row r="31">
      <c r="B31" s="2" t="s">
        <v>27</v>
      </c>
    </row>
    <row r="33">
      <c r="B33" s="1" t="s">
        <v>28</v>
      </c>
      <c r="O33" s="2" t="s">
        <v>1</v>
      </c>
    </row>
    <row r="34">
      <c r="B34" s="3" t="s">
        <v>2</v>
      </c>
      <c r="C34" s="3" t="s">
        <v>3</v>
      </c>
      <c r="D34" s="3" t="s">
        <v>4</v>
      </c>
      <c r="E34" s="3" t="s">
        <v>5</v>
      </c>
      <c r="F34" s="3" t="s">
        <v>6</v>
      </c>
      <c r="G34" s="3" t="s">
        <v>7</v>
      </c>
      <c r="H34" s="3" t="s">
        <v>8</v>
      </c>
      <c r="I34" s="3" t="s">
        <v>9</v>
      </c>
      <c r="J34" s="3" t="s">
        <v>10</v>
      </c>
      <c r="K34" s="3" t="s">
        <v>11</v>
      </c>
      <c r="L34" s="3" t="s">
        <v>12</v>
      </c>
      <c r="M34" s="3" t="s">
        <v>13</v>
      </c>
      <c r="N34" s="3" t="s">
        <v>14</v>
      </c>
      <c r="O34" s="3" t="s">
        <v>3</v>
      </c>
      <c r="P34" s="3" t="s">
        <v>4</v>
      </c>
      <c r="Q34" s="3" t="s">
        <v>5</v>
      </c>
      <c r="R34" s="3" t="s">
        <v>6</v>
      </c>
      <c r="S34" s="3" t="s">
        <v>7</v>
      </c>
      <c r="T34" s="3" t="s">
        <v>8</v>
      </c>
      <c r="U34" s="3" t="s">
        <v>9</v>
      </c>
      <c r="V34" s="3" t="s">
        <v>10</v>
      </c>
    </row>
    <row r="35">
      <c r="B35" s="4" t="s">
        <v>15</v>
      </c>
      <c r="C35" s="5">
        <v>0.897193702693242</v>
      </c>
      <c r="D35" s="5">
        <v>0.877808305202935</v>
      </c>
      <c r="E35" s="5">
        <v>0.876398240380017</v>
      </c>
      <c r="F35" s="5">
        <v>0.924327349909977</v>
      </c>
      <c r="G35" s="5">
        <v>0.875580223750955</v>
      </c>
      <c r="H35" s="5">
        <v>0.887641180623526</v>
      </c>
      <c r="I35" s="6">
        <v>10.2806297306757</v>
      </c>
      <c r="J35" s="6">
        <v>0.0</v>
      </c>
      <c r="K35" s="7">
        <v>51.0</v>
      </c>
      <c r="L35" s="7">
        <v>36.75</v>
      </c>
      <c r="M35" s="7">
        <v>845.0</v>
      </c>
      <c r="N35" s="7">
        <v>307.0</v>
      </c>
      <c r="O35" s="7">
        <v>0.0153408658626913</v>
      </c>
      <c r="P35" s="7">
        <v>0.025913805932904</v>
      </c>
      <c r="Q35" s="7">
        <v>0.0251697865234952</v>
      </c>
      <c r="R35" s="7">
        <v>0.0140478344043925</v>
      </c>
      <c r="S35" s="7">
        <v>0.0182729397453658</v>
      </c>
      <c r="T35" s="7">
        <v>0.0151346524529748</v>
      </c>
      <c r="U35" s="7">
        <v>1.53408658626913</v>
      </c>
      <c r="V35" s="7">
        <v>0.0</v>
      </c>
    </row>
    <row r="36">
      <c r="B36" s="4" t="s">
        <v>16</v>
      </c>
      <c r="C36" s="5">
        <v>0.553921568627451</v>
      </c>
      <c r="D36" s="5">
        <v>0.845001874582092</v>
      </c>
      <c r="E36" s="5">
        <v>0.81728153678026</v>
      </c>
      <c r="F36" s="5">
        <v>0.276960784313725</v>
      </c>
      <c r="G36" s="5">
        <v>0.5</v>
      </c>
      <c r="H36" s="5">
        <v>0.356447641741899</v>
      </c>
      <c r="I36" s="6">
        <v>0.0</v>
      </c>
      <c r="J36" s="6">
        <v>44.6078431372549</v>
      </c>
      <c r="K36" s="7">
        <v>68.25</v>
      </c>
      <c r="L36" s="7">
        <v>84.75</v>
      </c>
      <c r="M36" s="7">
        <v>32.0</v>
      </c>
      <c r="N36" s="7">
        <v>230.0</v>
      </c>
      <c r="O36" s="7">
        <v>0.00849044513514156</v>
      </c>
      <c r="P36" s="7">
        <v>0.0159220357229479</v>
      </c>
      <c r="Q36" s="7">
        <v>0.0168663572278003</v>
      </c>
      <c r="R36" s="7">
        <v>0.00424522256757078</v>
      </c>
      <c r="S36" s="7">
        <v>0.0</v>
      </c>
      <c r="T36" s="7">
        <v>0.00352044482457089</v>
      </c>
      <c r="U36" s="7">
        <v>0.0</v>
      </c>
      <c r="V36" s="7">
        <v>0.849044513514155</v>
      </c>
    </row>
    <row r="37">
      <c r="B37" s="4" t="s">
        <v>18</v>
      </c>
      <c r="C37" s="5">
        <v>0.309404717658145</v>
      </c>
      <c r="D37" s="5">
        <v>0.820728347865754</v>
      </c>
      <c r="E37" s="5">
        <v>0.744796295739644</v>
      </c>
      <c r="F37" s="5">
        <v>0.637490031897926</v>
      </c>
      <c r="G37" s="5">
        <v>0.531059770809341</v>
      </c>
      <c r="H37" s="5">
        <v>0.272846106589707</v>
      </c>
      <c r="I37" s="6">
        <v>0.0</v>
      </c>
      <c r="J37" s="6">
        <v>69.0595282341854</v>
      </c>
      <c r="K37" s="7">
        <v>48.0</v>
      </c>
      <c r="L37" s="7">
        <v>17.25</v>
      </c>
      <c r="M37" s="7">
        <v>6.0</v>
      </c>
      <c r="N37" s="7">
        <v>60.0</v>
      </c>
      <c r="O37" s="7">
        <v>0.0274683320885338</v>
      </c>
      <c r="P37" s="7">
        <v>0.0312635234934781</v>
      </c>
      <c r="Q37" s="7">
        <v>0.0442919303875623</v>
      </c>
      <c r="R37" s="7">
        <v>0.0197750338321906</v>
      </c>
      <c r="S37" s="7">
        <v>0.0126100814280055</v>
      </c>
      <c r="T37" s="7">
        <v>0.0187247397288599</v>
      </c>
      <c r="U37" s="7">
        <v>0.0</v>
      </c>
      <c r="V37" s="7">
        <v>2.74683320885338</v>
      </c>
    </row>
    <row r="38">
      <c r="B38" s="4" t="s">
        <v>20</v>
      </c>
      <c r="C38" s="5">
        <v>0.160687092646177</v>
      </c>
      <c r="D38" s="5">
        <v>0.595760895427529</v>
      </c>
      <c r="E38" s="5">
        <v>0.568378246686082</v>
      </c>
      <c r="F38" s="5">
        <v>0.554519317673094</v>
      </c>
      <c r="G38" s="5">
        <v>0.532240842078464</v>
      </c>
      <c r="H38" s="5">
        <v>0.158390115149187</v>
      </c>
      <c r="I38" s="6">
        <v>0.0</v>
      </c>
      <c r="J38" s="6">
        <v>83.9312907353822</v>
      </c>
      <c r="K38" s="7">
        <v>58.5</v>
      </c>
      <c r="L38" s="7">
        <v>6.75</v>
      </c>
      <c r="M38" s="7">
        <v>3.0</v>
      </c>
      <c r="N38" s="7">
        <v>104.0</v>
      </c>
      <c r="O38" s="7">
        <v>0.0197015932739514</v>
      </c>
      <c r="P38" s="7">
        <v>0.021801134026802</v>
      </c>
      <c r="Q38" s="7">
        <v>0.00458980834383988</v>
      </c>
      <c r="R38" s="7">
        <v>0.00807533187408378</v>
      </c>
      <c r="S38" s="7">
        <v>0.00962924308936445</v>
      </c>
      <c r="T38" s="7">
        <v>0.0205427444355536</v>
      </c>
      <c r="U38" s="7">
        <v>0.0</v>
      </c>
      <c r="V38" s="7">
        <v>1.97015932739514</v>
      </c>
    </row>
    <row r="39">
      <c r="B39" s="4" t="s">
        <v>17</v>
      </c>
      <c r="C39" s="5">
        <v>0.318627450980392</v>
      </c>
      <c r="D39" s="5">
        <v>0.910220282616818</v>
      </c>
      <c r="E39" s="5">
        <v>0.907431422024562</v>
      </c>
      <c r="F39" s="5">
        <v>0.615768350232095</v>
      </c>
      <c r="G39" s="5">
        <v>0.570821598363971</v>
      </c>
      <c r="H39" s="5">
        <v>0.310940598142905</v>
      </c>
      <c r="I39" s="6">
        <v>0.0</v>
      </c>
      <c r="J39" s="6">
        <v>68.1372549019607</v>
      </c>
      <c r="K39" s="7">
        <v>121.5</v>
      </c>
      <c r="L39" s="7">
        <v>31.5</v>
      </c>
      <c r="M39" s="7">
        <v>85.0</v>
      </c>
      <c r="N39" s="7">
        <v>151.0</v>
      </c>
      <c r="O39" s="7">
        <v>0.0300848899338594</v>
      </c>
      <c r="P39" s="7">
        <v>0.003993944202134</v>
      </c>
      <c r="Q39" s="7">
        <v>0.00350402938529143</v>
      </c>
      <c r="R39" s="7">
        <v>0.0213401180581512</v>
      </c>
      <c r="S39" s="7">
        <v>0.00661940712561596</v>
      </c>
      <c r="T39" s="7">
        <v>0.0264300913445598</v>
      </c>
      <c r="U39" s="7">
        <v>0.0</v>
      </c>
      <c r="V39" s="7">
        <v>3.00848899338594</v>
      </c>
    </row>
    <row r="40">
      <c r="B40" s="4" t="s">
        <v>19</v>
      </c>
      <c r="C40" s="5">
        <v>0.818627450980392</v>
      </c>
      <c r="D40" s="5">
        <v>0.794902522326474</v>
      </c>
      <c r="E40" s="5">
        <v>0.692375079002281</v>
      </c>
      <c r="F40" s="5">
        <v>0.647517529992296</v>
      </c>
      <c r="G40" s="5">
        <v>0.735130119245803</v>
      </c>
      <c r="H40" s="5">
        <v>0.669585126757056</v>
      </c>
      <c r="I40" s="6">
        <v>4.41176470588235</v>
      </c>
      <c r="J40" s="6">
        <v>13.7254901960784</v>
      </c>
      <c r="K40" s="7">
        <v>135.0</v>
      </c>
      <c r="L40" s="7">
        <v>18.0</v>
      </c>
      <c r="M40" s="7">
        <v>695.0</v>
      </c>
      <c r="N40" s="7">
        <v>558.0</v>
      </c>
      <c r="O40" s="7">
        <v>0.0116690007002334</v>
      </c>
      <c r="P40" s="7">
        <v>0.0191587859192585</v>
      </c>
      <c r="Q40" s="7">
        <v>0.016769434282483</v>
      </c>
      <c r="R40" s="7">
        <v>0.0162520155369539</v>
      </c>
      <c r="S40" s="7">
        <v>0.0061293146713846</v>
      </c>
      <c r="T40" s="7">
        <v>0.015952650028158</v>
      </c>
      <c r="U40" s="7">
        <v>0.54193215528683</v>
      </c>
      <c r="V40" s="7">
        <v>1.66634624627215</v>
      </c>
    </row>
    <row r="41">
      <c r="B41" s="4" t="s">
        <v>22</v>
      </c>
      <c r="C41" s="8">
        <f t="shared" ref="C41:J41" si="1">MEDIAN(C35:C40)</f>
        <v>0.4362745098</v>
      </c>
      <c r="D41" s="8">
        <f t="shared" si="1"/>
        <v>0.8328651112</v>
      </c>
      <c r="E41" s="8">
        <f t="shared" si="1"/>
        <v>0.7810389163</v>
      </c>
      <c r="F41" s="8">
        <f t="shared" si="1"/>
        <v>0.6266291911</v>
      </c>
      <c r="G41" s="8">
        <f t="shared" si="1"/>
        <v>0.5515312202</v>
      </c>
      <c r="H41" s="8">
        <f t="shared" si="1"/>
        <v>0.3336941199</v>
      </c>
      <c r="I41" s="9">
        <f t="shared" si="1"/>
        <v>0</v>
      </c>
      <c r="J41" s="9">
        <f t="shared" si="1"/>
        <v>56.37254902</v>
      </c>
    </row>
    <row r="43">
      <c r="B43" s="1" t="s">
        <v>29</v>
      </c>
      <c r="O43" s="2" t="s">
        <v>1</v>
      </c>
    </row>
    <row r="44">
      <c r="B44" s="3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3" t="s">
        <v>7</v>
      </c>
      <c r="H44" s="3" t="s">
        <v>8</v>
      </c>
      <c r="I44" s="3" t="s">
        <v>9</v>
      </c>
      <c r="J44" s="3" t="s">
        <v>10</v>
      </c>
      <c r="K44" s="3" t="s">
        <v>11</v>
      </c>
      <c r="L44" s="3" t="s">
        <v>12</v>
      </c>
      <c r="M44" s="3" t="s">
        <v>13</v>
      </c>
      <c r="N44" s="3" t="s">
        <v>14</v>
      </c>
      <c r="O44" s="3" t="s">
        <v>3</v>
      </c>
      <c r="P44" s="3" t="s">
        <v>4</v>
      </c>
      <c r="Q44" s="3" t="s">
        <v>5</v>
      </c>
      <c r="R44" s="3" t="s">
        <v>6</v>
      </c>
      <c r="S44" s="3" t="s">
        <v>7</v>
      </c>
      <c r="T44" s="3" t="s">
        <v>8</v>
      </c>
      <c r="U44" s="3" t="s">
        <v>9</v>
      </c>
      <c r="V44" s="3" t="s">
        <v>10</v>
      </c>
    </row>
    <row r="45">
      <c r="B45" s="4" t="s">
        <v>15</v>
      </c>
      <c r="C45" s="5">
        <v>0.848579323061974</v>
      </c>
      <c r="D45" s="5">
        <v>0.866344335884879</v>
      </c>
      <c r="E45" s="5">
        <v>0.873404503504812</v>
      </c>
      <c r="F45" s="5">
        <v>0.874541002298355</v>
      </c>
      <c r="G45" s="5">
        <v>0.81987940653698</v>
      </c>
      <c r="H45" s="5">
        <v>0.831272683968723</v>
      </c>
      <c r="I45" s="6">
        <v>13.1381796876394</v>
      </c>
      <c r="J45" s="6">
        <v>2.00388800616303</v>
      </c>
      <c r="K45" s="7">
        <v>51.0</v>
      </c>
      <c r="L45" s="7">
        <v>36.75</v>
      </c>
      <c r="M45" s="7">
        <v>862.0</v>
      </c>
      <c r="N45" s="7">
        <v>319.25</v>
      </c>
      <c r="O45" s="7">
        <v>0.0158834320034217</v>
      </c>
      <c r="P45" s="7">
        <v>0.0354645322681632</v>
      </c>
      <c r="Q45" s="7">
        <v>0.0297070942742779</v>
      </c>
      <c r="R45" s="7">
        <v>0.0233559993106091</v>
      </c>
      <c r="S45" s="7">
        <v>0.0318572868579346</v>
      </c>
      <c r="T45" s="7">
        <v>0.0244839760286165</v>
      </c>
      <c r="U45" s="7">
        <v>1.47824769821762</v>
      </c>
      <c r="V45" s="7">
        <v>1.71129908412366</v>
      </c>
    </row>
    <row r="46">
      <c r="B46" s="4" t="s">
        <v>16</v>
      </c>
      <c r="C46" s="5">
        <v>0.666666666666666</v>
      </c>
      <c r="D46" s="5">
        <v>0.931103552788093</v>
      </c>
      <c r="E46" s="5">
        <v>0.906941931503088</v>
      </c>
      <c r="F46" s="5">
        <v>0.726851796214673</v>
      </c>
      <c r="G46" s="5">
        <v>0.628916799969512</v>
      </c>
      <c r="H46" s="5">
        <v>0.580556456685517</v>
      </c>
      <c r="I46" s="6">
        <v>1.96078431372549</v>
      </c>
      <c r="J46" s="6">
        <v>31.3725490196078</v>
      </c>
      <c r="K46" s="7">
        <v>68.25</v>
      </c>
      <c r="L46" s="7">
        <v>84.75</v>
      </c>
      <c r="M46" s="7">
        <v>54.75</v>
      </c>
      <c r="N46" s="7">
        <v>258.25</v>
      </c>
      <c r="O46" s="7">
        <v>0.0853435611581738</v>
      </c>
      <c r="P46" s="7">
        <v>0.00802073258151944</v>
      </c>
      <c r="Q46" s="7">
        <v>0.0123011681716787</v>
      </c>
      <c r="R46" s="7">
        <v>0.0768645875752995</v>
      </c>
      <c r="S46" s="7">
        <v>0.102606224855061</v>
      </c>
      <c r="T46" s="7">
        <v>0.145217927347584</v>
      </c>
      <c r="U46" s="7">
        <v>0.80048684404679</v>
      </c>
      <c r="V46" s="7">
        <v>9.31229205802288</v>
      </c>
    </row>
    <row r="47">
      <c r="B47" s="4" t="s">
        <v>18</v>
      </c>
      <c r="C47" s="5">
        <v>0.803336602912912</v>
      </c>
      <c r="D47" s="5">
        <v>0.907836129729168</v>
      </c>
      <c r="E47" s="5">
        <v>0.853549276296123</v>
      </c>
      <c r="F47" s="5">
        <v>0.76594468031968</v>
      </c>
      <c r="G47" s="5">
        <v>0.76479934319996</v>
      </c>
      <c r="H47" s="5">
        <v>0.746746130749216</v>
      </c>
      <c r="I47" s="6">
        <v>9.14864214653744</v>
      </c>
      <c r="J47" s="6">
        <v>10.5176975621713</v>
      </c>
      <c r="K47" s="7">
        <v>48.0</v>
      </c>
      <c r="L47" s="7">
        <v>17.25</v>
      </c>
      <c r="M47" s="7">
        <v>22.0</v>
      </c>
      <c r="N47" s="7">
        <v>65.75</v>
      </c>
      <c r="O47" s="7">
        <v>0.0545445134065361</v>
      </c>
      <c r="P47" s="7">
        <v>0.0219686590169667</v>
      </c>
      <c r="Q47" s="7">
        <v>0.0304376075792456</v>
      </c>
      <c r="R47" s="7">
        <v>0.0659958963046599</v>
      </c>
      <c r="S47" s="7">
        <v>0.0761216132260727</v>
      </c>
      <c r="T47" s="7">
        <v>0.0745816856958573</v>
      </c>
      <c r="U47" s="7">
        <v>6.36719100351095</v>
      </c>
      <c r="V47" s="7">
        <v>6.85817654149947</v>
      </c>
    </row>
    <row r="48">
      <c r="B48" s="4" t="s">
        <v>20</v>
      </c>
      <c r="C48" s="5">
        <v>0.882050207577579</v>
      </c>
      <c r="D48" s="5">
        <v>0.729500135391558</v>
      </c>
      <c r="E48" s="5">
        <v>0.645372087597727</v>
      </c>
      <c r="F48" s="5">
        <v>0.611357384499726</v>
      </c>
      <c r="G48" s="5">
        <v>0.618263629778113</v>
      </c>
      <c r="H48" s="5">
        <v>0.614291468642567</v>
      </c>
      <c r="I48" s="6">
        <v>7.2505240414109</v>
      </c>
      <c r="J48" s="6">
        <v>4.54445520083119</v>
      </c>
      <c r="K48" s="7">
        <v>58.5</v>
      </c>
      <c r="L48" s="7">
        <v>6.75</v>
      </c>
      <c r="M48" s="7">
        <v>22.5</v>
      </c>
      <c r="N48" s="7">
        <v>106.25</v>
      </c>
      <c r="O48" s="7">
        <v>0.022941097408653</v>
      </c>
      <c r="P48" s="7">
        <v>0.0814711109135915</v>
      </c>
      <c r="Q48" s="7">
        <v>0.031957136798476</v>
      </c>
      <c r="R48" s="7">
        <v>0.0920918542841882</v>
      </c>
      <c r="S48" s="7">
        <v>0.0690218673776218</v>
      </c>
      <c r="T48" s="7">
        <v>0.0808144927272399</v>
      </c>
      <c r="U48" s="7">
        <v>1.58105531907575</v>
      </c>
      <c r="V48" s="7">
        <v>2.7783461904681</v>
      </c>
    </row>
    <row r="49">
      <c r="B49" s="4" t="s">
        <v>17</v>
      </c>
      <c r="C49" s="5">
        <v>0.683006535947712</v>
      </c>
      <c r="D49" s="5">
        <v>0.928125699643499</v>
      </c>
      <c r="E49" s="5">
        <v>0.929603668451953</v>
      </c>
      <c r="F49" s="5">
        <v>0.679934182691654</v>
      </c>
      <c r="G49" s="5">
        <v>0.760295896636873</v>
      </c>
      <c r="H49" s="5">
        <v>0.645074499553593</v>
      </c>
      <c r="I49" s="6">
        <v>1.96078431372549</v>
      </c>
      <c r="J49" s="6">
        <v>29.7385620915032</v>
      </c>
      <c r="K49" s="7">
        <v>121.5</v>
      </c>
      <c r="L49" s="7">
        <v>31.5</v>
      </c>
      <c r="M49" s="7">
        <v>125.5</v>
      </c>
      <c r="N49" s="7">
        <v>161.5</v>
      </c>
      <c r="O49" s="7">
        <v>0.0795803638031759</v>
      </c>
      <c r="P49" s="7">
        <v>0.0225650665824885</v>
      </c>
      <c r="Q49" s="7">
        <v>0.0185587044170374</v>
      </c>
      <c r="R49" s="7">
        <v>0.0504457725432507</v>
      </c>
      <c r="S49" s="7">
        <v>0.0391698600328773</v>
      </c>
      <c r="T49" s="7">
        <v>0.0753392102657791</v>
      </c>
      <c r="U49" s="7">
        <v>1.2227638518869</v>
      </c>
      <c r="V49" s="7">
        <v>9.03876907577734</v>
      </c>
    </row>
    <row r="50">
      <c r="B50" s="4" t="s">
        <v>19</v>
      </c>
      <c r="C50" s="5">
        <v>0.787581699346405</v>
      </c>
      <c r="D50" s="5">
        <v>0.786363787625886</v>
      </c>
      <c r="E50" s="5">
        <v>0.672928622932384</v>
      </c>
      <c r="F50" s="5">
        <v>0.633935883935884</v>
      </c>
      <c r="G50" s="5">
        <v>0.723719064236015</v>
      </c>
      <c r="H50" s="5">
        <v>0.645847404351729</v>
      </c>
      <c r="I50" s="6">
        <v>4.24836601307189</v>
      </c>
      <c r="J50" s="6">
        <v>16.9934640522875</v>
      </c>
      <c r="K50" s="7">
        <v>135.0</v>
      </c>
      <c r="L50" s="7">
        <v>18.0</v>
      </c>
      <c r="M50" s="7">
        <v>740.0</v>
      </c>
      <c r="N50" s="7">
        <v>564.0</v>
      </c>
      <c r="O50" s="7">
        <v>0.0507325970466013</v>
      </c>
      <c r="P50" s="7">
        <v>0.01116034647672</v>
      </c>
      <c r="Q50" s="7">
        <v>0.0352892407743014</v>
      </c>
      <c r="R50" s="7">
        <v>0.0414852263098304</v>
      </c>
      <c r="S50" s="7">
        <v>0.0262496679356148</v>
      </c>
      <c r="T50" s="7">
        <v>0.0517848905488407</v>
      </c>
      <c r="U50" s="7">
        <v>0.566029675676104</v>
      </c>
      <c r="V50" s="7">
        <v>5.48786131494988</v>
      </c>
    </row>
    <row r="51">
      <c r="B51" s="4" t="s">
        <v>22</v>
      </c>
      <c r="C51" s="8">
        <f t="shared" ref="C51:J51" si="2">MEDIAN(C45:C50)</f>
        <v>0.7954591511</v>
      </c>
      <c r="D51" s="8">
        <f t="shared" si="2"/>
        <v>0.8870902328</v>
      </c>
      <c r="E51" s="8">
        <f t="shared" si="2"/>
        <v>0.8634768899</v>
      </c>
      <c r="F51" s="8">
        <f t="shared" si="2"/>
        <v>0.7033929895</v>
      </c>
      <c r="G51" s="8">
        <f t="shared" si="2"/>
        <v>0.7420074804</v>
      </c>
      <c r="H51" s="8">
        <f t="shared" si="2"/>
        <v>0.645460952</v>
      </c>
      <c r="I51" s="9">
        <f t="shared" si="2"/>
        <v>5.749445027</v>
      </c>
      <c r="J51" s="9">
        <f t="shared" si="2"/>
        <v>13.75558081</v>
      </c>
    </row>
    <row r="53">
      <c r="B53" s="1" t="s">
        <v>30</v>
      </c>
    </row>
    <row r="54">
      <c r="B54" s="3" t="s">
        <v>2</v>
      </c>
      <c r="C54" s="3" t="s">
        <v>3</v>
      </c>
      <c r="D54" s="3" t="s">
        <v>4</v>
      </c>
      <c r="E54" s="3" t="s">
        <v>5</v>
      </c>
      <c r="F54" s="3" t="s">
        <v>6</v>
      </c>
      <c r="G54" s="3" t="s">
        <v>7</v>
      </c>
      <c r="H54" s="3" t="s">
        <v>8</v>
      </c>
      <c r="I54" s="3" t="s">
        <v>9</v>
      </c>
      <c r="J54" s="3" t="s">
        <v>10</v>
      </c>
    </row>
    <row r="55">
      <c r="B55" s="4" t="s">
        <v>15</v>
      </c>
      <c r="C55" s="8">
        <f t="shared" ref="C55:J55" si="3">C45-C35</f>
        <v>-0.04861437963</v>
      </c>
      <c r="D55" s="8">
        <f t="shared" si="3"/>
        <v>-0.01146396932</v>
      </c>
      <c r="E55" s="8">
        <f t="shared" si="3"/>
        <v>-0.002993736875</v>
      </c>
      <c r="F55" s="8">
        <f t="shared" si="3"/>
        <v>-0.04978634761</v>
      </c>
      <c r="G55" s="8">
        <f t="shared" si="3"/>
        <v>-0.05570081721</v>
      </c>
      <c r="H55" s="8">
        <f t="shared" si="3"/>
        <v>-0.05636849665</v>
      </c>
      <c r="I55" s="9">
        <f t="shared" si="3"/>
        <v>2.857549957</v>
      </c>
      <c r="J55" s="9">
        <f t="shared" si="3"/>
        <v>2.003888006</v>
      </c>
    </row>
    <row r="56">
      <c r="B56" s="4" t="s">
        <v>16</v>
      </c>
      <c r="C56" s="8">
        <f t="shared" ref="C56:J56" si="4">C46-C36</f>
        <v>0.112745098</v>
      </c>
      <c r="D56" s="8">
        <f t="shared" si="4"/>
        <v>0.08610167821</v>
      </c>
      <c r="E56" s="8">
        <f t="shared" si="4"/>
        <v>0.08966039472</v>
      </c>
      <c r="F56" s="8">
        <f t="shared" si="4"/>
        <v>0.4498910119</v>
      </c>
      <c r="G56" s="8">
        <f t="shared" si="4"/>
        <v>0.1289168</v>
      </c>
      <c r="H56" s="8">
        <f t="shared" si="4"/>
        <v>0.2241088149</v>
      </c>
      <c r="I56" s="9">
        <f t="shared" si="4"/>
        <v>1.960784314</v>
      </c>
      <c r="J56" s="9">
        <f t="shared" si="4"/>
        <v>-13.23529412</v>
      </c>
    </row>
    <row r="57">
      <c r="B57" s="4" t="s">
        <v>18</v>
      </c>
      <c r="C57" s="8">
        <f t="shared" ref="C57:J57" si="5">C47-C37</f>
        <v>0.4939318853</v>
      </c>
      <c r="D57" s="8">
        <f t="shared" si="5"/>
        <v>0.08710778186</v>
      </c>
      <c r="E57" s="8">
        <f t="shared" si="5"/>
        <v>0.1087529806</v>
      </c>
      <c r="F57" s="8">
        <f t="shared" si="5"/>
        <v>0.1284546484</v>
      </c>
      <c r="G57" s="8">
        <f t="shared" si="5"/>
        <v>0.2337395724</v>
      </c>
      <c r="H57" s="8">
        <f t="shared" si="5"/>
        <v>0.4739000242</v>
      </c>
      <c r="I57" s="9">
        <f t="shared" si="5"/>
        <v>9.148642147</v>
      </c>
      <c r="J57" s="9">
        <f t="shared" si="5"/>
        <v>-58.54183067</v>
      </c>
    </row>
    <row r="58">
      <c r="B58" s="4" t="s">
        <v>20</v>
      </c>
      <c r="C58" s="8">
        <f t="shared" ref="C58:J58" si="6">C48-C38</f>
        <v>0.7213631149</v>
      </c>
      <c r="D58" s="8">
        <f t="shared" si="6"/>
        <v>0.13373924</v>
      </c>
      <c r="E58" s="8">
        <f t="shared" si="6"/>
        <v>0.07699384091</v>
      </c>
      <c r="F58" s="8">
        <f t="shared" si="6"/>
        <v>0.05683806683</v>
      </c>
      <c r="G58" s="8">
        <f t="shared" si="6"/>
        <v>0.0860227877</v>
      </c>
      <c r="H58" s="8">
        <f t="shared" si="6"/>
        <v>0.4559013535</v>
      </c>
      <c r="I58" s="9">
        <f t="shared" si="6"/>
        <v>7.250524041</v>
      </c>
      <c r="J58" s="9">
        <f t="shared" si="6"/>
        <v>-79.38683553</v>
      </c>
    </row>
    <row r="59">
      <c r="B59" s="4" t="s">
        <v>17</v>
      </c>
      <c r="C59" s="8">
        <f t="shared" ref="C59:J59" si="7">C49-C39</f>
        <v>0.364379085</v>
      </c>
      <c r="D59" s="8">
        <f t="shared" si="7"/>
        <v>0.01790541703</v>
      </c>
      <c r="E59" s="8">
        <f t="shared" si="7"/>
        <v>0.02217224643</v>
      </c>
      <c r="F59" s="8">
        <f t="shared" si="7"/>
        <v>0.06416583246</v>
      </c>
      <c r="G59" s="8">
        <f t="shared" si="7"/>
        <v>0.1894742983</v>
      </c>
      <c r="H59" s="8">
        <f t="shared" si="7"/>
        <v>0.3341339014</v>
      </c>
      <c r="I59" s="9">
        <f t="shared" si="7"/>
        <v>1.960784314</v>
      </c>
      <c r="J59" s="9">
        <f t="shared" si="7"/>
        <v>-38.39869281</v>
      </c>
    </row>
    <row r="60">
      <c r="B60" s="4" t="s">
        <v>19</v>
      </c>
      <c r="C60" s="8">
        <f t="shared" ref="C60:J60" si="8">C50-C40</f>
        <v>-0.03104575163</v>
      </c>
      <c r="D60" s="8">
        <f t="shared" si="8"/>
        <v>-0.008538734701</v>
      </c>
      <c r="E60" s="8">
        <f t="shared" si="8"/>
        <v>-0.01944645607</v>
      </c>
      <c r="F60" s="8">
        <f t="shared" si="8"/>
        <v>-0.01358164606</v>
      </c>
      <c r="G60" s="8">
        <f t="shared" si="8"/>
        <v>-0.01141105501</v>
      </c>
      <c r="H60" s="8">
        <f t="shared" si="8"/>
        <v>-0.02373772241</v>
      </c>
      <c r="I60" s="9">
        <f t="shared" si="8"/>
        <v>-0.1633986928</v>
      </c>
      <c r="J60" s="9">
        <f t="shared" si="8"/>
        <v>3.267973856</v>
      </c>
    </row>
    <row r="61">
      <c r="B61" s="4" t="s">
        <v>22</v>
      </c>
      <c r="C61" s="8">
        <f t="shared" ref="C61:J61" si="9">C51-C41</f>
        <v>0.3591846413</v>
      </c>
      <c r="D61" s="8">
        <f t="shared" si="9"/>
        <v>0.05422512158</v>
      </c>
      <c r="E61" s="8">
        <f t="shared" si="9"/>
        <v>0.08243797364</v>
      </c>
      <c r="F61" s="8">
        <f t="shared" si="9"/>
        <v>0.07676379839</v>
      </c>
      <c r="G61" s="8">
        <f t="shared" si="9"/>
        <v>0.1904762602</v>
      </c>
      <c r="H61" s="8">
        <f t="shared" si="9"/>
        <v>0.311766832</v>
      </c>
      <c r="I61" s="9">
        <f t="shared" si="9"/>
        <v>5.749445027</v>
      </c>
      <c r="J61" s="9">
        <f t="shared" si="9"/>
        <v>-42.61696821</v>
      </c>
    </row>
    <row r="63">
      <c r="B63" s="2" t="s">
        <v>31</v>
      </c>
    </row>
    <row r="65">
      <c r="B65" s="1" t="s">
        <v>32</v>
      </c>
      <c r="O65" s="2" t="s">
        <v>1</v>
      </c>
    </row>
    <row r="66"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3</v>
      </c>
      <c r="P66" s="3" t="s">
        <v>4</v>
      </c>
      <c r="Q66" s="3" t="s">
        <v>5</v>
      </c>
      <c r="R66" s="3" t="s">
        <v>6</v>
      </c>
      <c r="S66" s="3" t="s">
        <v>7</v>
      </c>
      <c r="T66" s="3" t="s">
        <v>8</v>
      </c>
      <c r="U66" s="3" t="s">
        <v>9</v>
      </c>
      <c r="V66" s="3" t="s">
        <v>10</v>
      </c>
    </row>
    <row r="67">
      <c r="B67" s="4" t="s">
        <v>15</v>
      </c>
      <c r="C67" s="5">
        <v>0.757873966493926</v>
      </c>
      <c r="D67" s="5">
        <v>0.846828737800001</v>
      </c>
      <c r="E67" s="5">
        <v>0.861334386901876</v>
      </c>
      <c r="F67" s="5">
        <v>0.765569637657125</v>
      </c>
      <c r="G67" s="5">
        <v>0.760439686810835</v>
      </c>
      <c r="H67" s="5">
        <v>0.751774770273143</v>
      </c>
      <c r="I67" s="6">
        <v>11.5862874443923</v>
      </c>
      <c r="J67" s="6">
        <v>12.626315906215</v>
      </c>
      <c r="K67" s="7">
        <v>51.0</v>
      </c>
      <c r="L67" s="7">
        <v>36.75</v>
      </c>
      <c r="M67" s="7">
        <v>15.75</v>
      </c>
      <c r="N67" s="7">
        <v>12.75</v>
      </c>
      <c r="O67" s="7">
        <v>0.0868365766869921</v>
      </c>
      <c r="P67" s="7">
        <v>0.0351436104207786</v>
      </c>
      <c r="Q67" s="7">
        <v>0.0323374295149665</v>
      </c>
      <c r="R67" s="7">
        <v>0.0911618410517623</v>
      </c>
      <c r="S67" s="7">
        <v>0.0750689640202125</v>
      </c>
      <c r="T67" s="7">
        <v>0.0878659570049596</v>
      </c>
      <c r="U67" s="7">
        <v>3.02476967917939</v>
      </c>
      <c r="V67" s="7">
        <v>10.043165542524</v>
      </c>
    </row>
    <row r="68">
      <c r="B68" s="4" t="s">
        <v>16</v>
      </c>
      <c r="C68" s="5">
        <v>0.895424836601307</v>
      </c>
      <c r="D68" s="5">
        <v>0.931901890650268</v>
      </c>
      <c r="E68" s="5">
        <v>0.913322044287663</v>
      </c>
      <c r="F68" s="5">
        <v>0.905768980275944</v>
      </c>
      <c r="G68" s="5">
        <v>0.904812022175079</v>
      </c>
      <c r="H68" s="5">
        <v>0.895114646470895</v>
      </c>
      <c r="I68" s="6">
        <v>10.2941176470588</v>
      </c>
      <c r="J68" s="6">
        <v>0.163398692810457</v>
      </c>
      <c r="K68" s="7">
        <v>68.25</v>
      </c>
      <c r="L68" s="7">
        <v>84.75</v>
      </c>
      <c r="M68" s="7">
        <v>22.75</v>
      </c>
      <c r="N68" s="7">
        <v>28.0</v>
      </c>
      <c r="O68" s="7">
        <v>0.0394870783450802</v>
      </c>
      <c r="P68" s="7">
        <v>0.0193834831721742</v>
      </c>
      <c r="Q68" s="7">
        <v>0.0259225164083814</v>
      </c>
      <c r="R68" s="7">
        <v>0.0286407035954097</v>
      </c>
      <c r="S68" s="7">
        <v>0.0377665735711849</v>
      </c>
      <c r="T68" s="7">
        <v>0.0397802313775305</v>
      </c>
      <c r="U68" s="7">
        <v>3.67919289189467</v>
      </c>
      <c r="V68" s="7">
        <v>0.283014837838051</v>
      </c>
    </row>
    <row r="69">
      <c r="B69" s="4" t="s">
        <v>17</v>
      </c>
      <c r="C69" s="5">
        <v>0.897058823529411</v>
      </c>
      <c r="D69" s="5">
        <v>0.857351571943458</v>
      </c>
      <c r="E69" s="5">
        <v>0.856063062326353</v>
      </c>
      <c r="F69" s="5">
        <v>0.869524474966855</v>
      </c>
      <c r="G69" s="5">
        <v>0.814768286714946</v>
      </c>
      <c r="H69" s="5">
        <v>0.835084470547892</v>
      </c>
      <c r="I69" s="6">
        <v>6.86274509803921</v>
      </c>
      <c r="J69" s="6">
        <v>3.4313725490196</v>
      </c>
      <c r="K69" s="7">
        <v>121.5</v>
      </c>
      <c r="L69" s="7">
        <v>31.5</v>
      </c>
      <c r="M69" s="7">
        <v>40.0</v>
      </c>
      <c r="N69" s="7">
        <v>10.75</v>
      </c>
      <c r="O69" s="7">
        <v>0.0880990233118206</v>
      </c>
      <c r="P69" s="7">
        <v>0.108914741964349</v>
      </c>
      <c r="Q69" s="7">
        <v>0.118927801869014</v>
      </c>
      <c r="R69" s="7">
        <v>0.142492331873047</v>
      </c>
      <c r="S69" s="7">
        <v>0.125797340874213</v>
      </c>
      <c r="T69" s="7">
        <v>0.129937316626524</v>
      </c>
      <c r="U69" s="7">
        <v>5.27957334032794</v>
      </c>
      <c r="V69" s="7">
        <v>4.01242782934924</v>
      </c>
    </row>
    <row r="70">
      <c r="B70" s="4" t="s">
        <v>19</v>
      </c>
      <c r="C70" s="5">
        <v>0.851307189542483</v>
      </c>
      <c r="D70" s="5">
        <v>0.693265822594695</v>
      </c>
      <c r="E70" s="5">
        <v>0.599482656652307</v>
      </c>
      <c r="F70" s="5">
        <v>0.537177956571377</v>
      </c>
      <c r="G70" s="5">
        <v>0.517864219043147</v>
      </c>
      <c r="H70" s="5">
        <v>0.50349558546983</v>
      </c>
      <c r="I70" s="6">
        <v>10.7843137254901</v>
      </c>
      <c r="J70" s="6">
        <v>4.08496732026143</v>
      </c>
      <c r="K70" s="7">
        <v>135.0</v>
      </c>
      <c r="L70" s="7">
        <v>18.0</v>
      </c>
      <c r="M70" s="7">
        <v>44.75</v>
      </c>
      <c r="N70" s="7">
        <v>6.0</v>
      </c>
      <c r="O70" s="7">
        <v>0.0213671516840229</v>
      </c>
      <c r="P70" s="7">
        <v>0.0275810432938732</v>
      </c>
      <c r="Q70" s="7">
        <v>0.0298893312685903</v>
      </c>
      <c r="R70" s="7">
        <v>0.102284599180468</v>
      </c>
      <c r="S70" s="7">
        <v>0.0408507625727918</v>
      </c>
      <c r="T70" s="7">
        <v>0.0480227756365422</v>
      </c>
      <c r="U70" s="7">
        <v>1.49757375652151</v>
      </c>
      <c r="V70" s="7">
        <v>3.43914463723026</v>
      </c>
    </row>
    <row r="71">
      <c r="B71" s="4" t="s">
        <v>24</v>
      </c>
      <c r="C71" s="5">
        <v>0.916666666666666</v>
      </c>
      <c r="D71" s="5">
        <v>0.971845918154815</v>
      </c>
      <c r="E71" s="5">
        <v>0.938237806378846</v>
      </c>
      <c r="F71" s="5">
        <v>0.876363091386594</v>
      </c>
      <c r="G71" s="5">
        <v>0.902469705557509</v>
      </c>
      <c r="H71" s="5">
        <v>0.879358088071056</v>
      </c>
      <c r="I71" s="6">
        <v>2.77777777777777</v>
      </c>
      <c r="J71" s="6">
        <v>5.55555555555555</v>
      </c>
      <c r="K71" s="7">
        <v>120.75</v>
      </c>
      <c r="L71" s="7">
        <v>32.25</v>
      </c>
      <c r="M71" s="7">
        <v>40.5</v>
      </c>
      <c r="N71" s="7">
        <v>10.25</v>
      </c>
      <c r="O71" s="7">
        <v>0.0125508917448833</v>
      </c>
      <c r="P71" s="7">
        <v>0.0167117792702444</v>
      </c>
      <c r="Q71" s="7">
        <v>0.042071864851355</v>
      </c>
      <c r="R71" s="7">
        <v>0.0254713760691148</v>
      </c>
      <c r="S71" s="7">
        <v>0.0552143344308196</v>
      </c>
      <c r="T71" s="7">
        <v>0.0201552451257731</v>
      </c>
      <c r="U71" s="7">
        <v>3.21443064916764</v>
      </c>
      <c r="V71" s="7">
        <v>3.08300036995313</v>
      </c>
    </row>
    <row r="72">
      <c r="B72" s="4" t="s">
        <v>22</v>
      </c>
      <c r="C72" s="8">
        <f t="shared" ref="C72:J72" si="10">MEDIAN(C67:C71)</f>
        <v>0.8954248366</v>
      </c>
      <c r="D72" s="8">
        <f t="shared" si="10"/>
        <v>0.8573515719</v>
      </c>
      <c r="E72" s="8">
        <f t="shared" si="10"/>
        <v>0.8613343869</v>
      </c>
      <c r="F72" s="8">
        <f t="shared" si="10"/>
        <v>0.869524475</v>
      </c>
      <c r="G72" s="8">
        <f t="shared" si="10"/>
        <v>0.8147682867</v>
      </c>
      <c r="H72" s="8">
        <f t="shared" si="10"/>
        <v>0.8350844705</v>
      </c>
      <c r="I72" s="9">
        <f t="shared" si="10"/>
        <v>10.29411765</v>
      </c>
      <c r="J72" s="9">
        <f t="shared" si="10"/>
        <v>4.08496732</v>
      </c>
    </row>
    <row r="73">
      <c r="B73" s="1"/>
    </row>
    <row r="74">
      <c r="B74" s="1" t="s">
        <v>33</v>
      </c>
    </row>
    <row r="75">
      <c r="B75" s="3" t="s">
        <v>2</v>
      </c>
      <c r="C75" s="3" t="s">
        <v>3</v>
      </c>
      <c r="D75" s="3" t="s">
        <v>4</v>
      </c>
      <c r="E75" s="3" t="s">
        <v>5</v>
      </c>
      <c r="F75" s="3" t="s">
        <v>6</v>
      </c>
      <c r="G75" s="3" t="s">
        <v>7</v>
      </c>
      <c r="H75" s="3" t="s">
        <v>8</v>
      </c>
      <c r="I75" s="3" t="s">
        <v>9</v>
      </c>
      <c r="J75" s="3" t="s">
        <v>10</v>
      </c>
      <c r="K75" s="3" t="s">
        <v>11</v>
      </c>
      <c r="L75" s="3" t="s">
        <v>12</v>
      </c>
      <c r="M75" s="3" t="s">
        <v>13</v>
      </c>
      <c r="N75" s="3" t="s">
        <v>14</v>
      </c>
      <c r="O75" s="3" t="s">
        <v>3</v>
      </c>
      <c r="P75" s="3" t="s">
        <v>4</v>
      </c>
      <c r="Q75" s="3" t="s">
        <v>5</v>
      </c>
      <c r="R75" s="3" t="s">
        <v>6</v>
      </c>
      <c r="S75" s="3" t="s">
        <v>7</v>
      </c>
      <c r="T75" s="3" t="s">
        <v>8</v>
      </c>
      <c r="U75" s="3" t="s">
        <v>9</v>
      </c>
      <c r="V75" s="3" t="s">
        <v>10</v>
      </c>
    </row>
    <row r="76">
      <c r="B76" s="4" t="s">
        <v>15</v>
      </c>
      <c r="C76" s="5">
        <v>0.848579323061974</v>
      </c>
      <c r="D76" s="5">
        <v>0.866344335884879</v>
      </c>
      <c r="E76" s="5">
        <v>0.873404503504812</v>
      </c>
      <c r="F76" s="5">
        <v>0.874541002298355</v>
      </c>
      <c r="G76" s="5">
        <v>0.81987940653698</v>
      </c>
      <c r="H76" s="5">
        <v>0.831272683968723</v>
      </c>
      <c r="I76" s="6">
        <v>13.1381796876394</v>
      </c>
      <c r="J76" s="6">
        <v>2.00388800616303</v>
      </c>
      <c r="K76" s="7">
        <v>51.0</v>
      </c>
      <c r="L76" s="7">
        <v>36.75</v>
      </c>
      <c r="M76" s="7">
        <v>862.0</v>
      </c>
      <c r="N76" s="7">
        <v>319.25</v>
      </c>
      <c r="O76" s="7">
        <v>0.0158834320034217</v>
      </c>
      <c r="P76" s="7">
        <v>0.0354645322681632</v>
      </c>
      <c r="Q76" s="7">
        <v>0.0297070942742779</v>
      </c>
      <c r="R76" s="7">
        <v>0.0233559993106091</v>
      </c>
      <c r="S76" s="7">
        <v>0.0318572868579346</v>
      </c>
      <c r="T76" s="7">
        <v>0.0244839760286165</v>
      </c>
      <c r="U76" s="7">
        <v>1.47824769821762</v>
      </c>
      <c r="V76" s="7">
        <v>1.71129908412366</v>
      </c>
    </row>
    <row r="77">
      <c r="B77" s="4" t="s">
        <v>16</v>
      </c>
      <c r="C77" s="5">
        <v>0.666666666666666</v>
      </c>
      <c r="D77" s="5">
        <v>0.931103552788093</v>
      </c>
      <c r="E77" s="5">
        <v>0.906941931503088</v>
      </c>
      <c r="F77" s="5">
        <v>0.726851796214673</v>
      </c>
      <c r="G77" s="5">
        <v>0.628916799969512</v>
      </c>
      <c r="H77" s="5">
        <v>0.580556456685517</v>
      </c>
      <c r="I77" s="6">
        <v>1.96078431372549</v>
      </c>
      <c r="J77" s="6">
        <v>31.3725490196078</v>
      </c>
      <c r="K77" s="7">
        <v>68.25</v>
      </c>
      <c r="L77" s="7">
        <v>84.75</v>
      </c>
      <c r="M77" s="7">
        <v>54.75</v>
      </c>
      <c r="N77" s="7">
        <v>258.25</v>
      </c>
      <c r="O77" s="7">
        <v>0.0853435611581738</v>
      </c>
      <c r="P77" s="7">
        <v>0.00802073258151944</v>
      </c>
      <c r="Q77" s="7">
        <v>0.0123011681716787</v>
      </c>
      <c r="R77" s="7">
        <v>0.0768645875752995</v>
      </c>
      <c r="S77" s="7">
        <v>0.102606224855061</v>
      </c>
      <c r="T77" s="7">
        <v>0.145217927347584</v>
      </c>
      <c r="U77" s="7">
        <v>0.80048684404679</v>
      </c>
      <c r="V77" s="7">
        <v>9.31229205802288</v>
      </c>
    </row>
    <row r="78">
      <c r="B78" s="4" t="s">
        <v>17</v>
      </c>
      <c r="C78" s="5">
        <v>0.683006535947712</v>
      </c>
      <c r="D78" s="5">
        <v>0.928125699643499</v>
      </c>
      <c r="E78" s="5">
        <v>0.929603668451953</v>
      </c>
      <c r="F78" s="5">
        <v>0.679934182691654</v>
      </c>
      <c r="G78" s="5">
        <v>0.760295896636873</v>
      </c>
      <c r="H78" s="5">
        <v>0.645074499553593</v>
      </c>
      <c r="I78" s="6">
        <v>1.96078431372549</v>
      </c>
      <c r="J78" s="6">
        <v>29.7385620915032</v>
      </c>
      <c r="K78" s="7">
        <v>121.5</v>
      </c>
      <c r="L78" s="7">
        <v>31.5</v>
      </c>
      <c r="M78" s="7">
        <v>125.5</v>
      </c>
      <c r="N78" s="7">
        <v>161.5</v>
      </c>
      <c r="O78" s="7">
        <v>0.0795803638031759</v>
      </c>
      <c r="P78" s="7">
        <v>0.0225650665824885</v>
      </c>
      <c r="Q78" s="7">
        <v>0.0185587044170374</v>
      </c>
      <c r="R78" s="7">
        <v>0.0504457725432507</v>
      </c>
      <c r="S78" s="7">
        <v>0.0391698600328773</v>
      </c>
      <c r="T78" s="7">
        <v>0.0753392102657791</v>
      </c>
      <c r="U78" s="7">
        <v>1.2227638518869</v>
      </c>
      <c r="V78" s="7">
        <v>9.03876907577734</v>
      </c>
    </row>
    <row r="79">
      <c r="B79" s="4" t="s">
        <v>19</v>
      </c>
      <c r="C79" s="5">
        <v>0.787581699346405</v>
      </c>
      <c r="D79" s="5">
        <v>0.786363787625886</v>
      </c>
      <c r="E79" s="5">
        <v>0.672928622932384</v>
      </c>
      <c r="F79" s="5">
        <v>0.633935883935884</v>
      </c>
      <c r="G79" s="5">
        <v>0.723719064236015</v>
      </c>
      <c r="H79" s="5">
        <v>0.645847404351729</v>
      </c>
      <c r="I79" s="6">
        <v>4.24836601307189</v>
      </c>
      <c r="J79" s="6">
        <v>16.9934640522875</v>
      </c>
      <c r="K79" s="7">
        <v>135.0</v>
      </c>
      <c r="L79" s="7">
        <v>18.0</v>
      </c>
      <c r="M79" s="7">
        <v>740.0</v>
      </c>
      <c r="N79" s="7">
        <v>564.0</v>
      </c>
      <c r="O79" s="7">
        <v>0.0507325970466013</v>
      </c>
      <c r="P79" s="7">
        <v>0.01116034647672</v>
      </c>
      <c r="Q79" s="7">
        <v>0.0352892407743014</v>
      </c>
      <c r="R79" s="7">
        <v>0.0414852263098304</v>
      </c>
      <c r="S79" s="7">
        <v>0.0262496679356148</v>
      </c>
      <c r="T79" s="7">
        <v>0.0517848905488407</v>
      </c>
      <c r="U79" s="7">
        <v>0.566029675676104</v>
      </c>
      <c r="V79" s="7">
        <v>5.48786131494988</v>
      </c>
    </row>
    <row r="80">
      <c r="B80" s="4" t="s">
        <v>24</v>
      </c>
      <c r="C80" s="5">
        <v>0.21078431372549</v>
      </c>
      <c r="D80" s="5">
        <v>0.736221290770663</v>
      </c>
      <c r="E80" s="5">
        <v>0.739309043859444</v>
      </c>
      <c r="F80" s="5">
        <v>0.105392156862745</v>
      </c>
      <c r="G80" s="5">
        <v>0.5</v>
      </c>
      <c r="H80" s="5">
        <v>0.173987498987498</v>
      </c>
      <c r="I80" s="6">
        <v>0.0</v>
      </c>
      <c r="J80" s="6">
        <v>78.9215686274509</v>
      </c>
      <c r="K80" s="7">
        <v>120.75</v>
      </c>
      <c r="L80" s="7">
        <v>32.25</v>
      </c>
      <c r="M80" s="7">
        <v>40.25</v>
      </c>
      <c r="N80" s="7">
        <v>347.75</v>
      </c>
      <c r="O80" s="7">
        <v>0.0133747594311641</v>
      </c>
      <c r="P80" s="7">
        <v>0.223067261295031</v>
      </c>
      <c r="Q80" s="7">
        <v>0.190833728153562</v>
      </c>
      <c r="R80" s="7">
        <v>0.00668737971558208</v>
      </c>
      <c r="S80" s="7">
        <v>0.0</v>
      </c>
      <c r="T80" s="7">
        <v>0.00919508512554242</v>
      </c>
      <c r="U80" s="7">
        <v>0.0</v>
      </c>
      <c r="V80" s="7">
        <v>1.3374759431164</v>
      </c>
    </row>
    <row r="81">
      <c r="B81" s="4" t="s">
        <v>22</v>
      </c>
      <c r="C81" s="8">
        <f t="shared" ref="C81:J81" si="11">MEDIAN(C76:C80)</f>
        <v>0.6830065359</v>
      </c>
      <c r="D81" s="8">
        <f t="shared" si="11"/>
        <v>0.8663443359</v>
      </c>
      <c r="E81" s="8">
        <f t="shared" si="11"/>
        <v>0.8734045035</v>
      </c>
      <c r="F81" s="8">
        <f t="shared" si="11"/>
        <v>0.6799341827</v>
      </c>
      <c r="G81" s="8">
        <f t="shared" si="11"/>
        <v>0.7237190642</v>
      </c>
      <c r="H81" s="8">
        <f t="shared" si="11"/>
        <v>0.6450744996</v>
      </c>
      <c r="I81" s="9">
        <f t="shared" si="11"/>
        <v>1.960784314</v>
      </c>
      <c r="J81" s="9">
        <f t="shared" si="11"/>
        <v>29.73856209</v>
      </c>
    </row>
    <row r="83">
      <c r="B83" s="1" t="s">
        <v>34</v>
      </c>
    </row>
    <row r="84">
      <c r="B84" s="3" t="s">
        <v>2</v>
      </c>
      <c r="C84" s="3" t="s">
        <v>3</v>
      </c>
      <c r="D84" s="3" t="s">
        <v>4</v>
      </c>
      <c r="E84" s="3" t="s">
        <v>5</v>
      </c>
      <c r="F84" s="3" t="s">
        <v>6</v>
      </c>
      <c r="G84" s="3" t="s">
        <v>7</v>
      </c>
      <c r="H84" s="3" t="s">
        <v>8</v>
      </c>
      <c r="I84" s="3" t="s">
        <v>9</v>
      </c>
      <c r="J84" s="3" t="s">
        <v>10</v>
      </c>
    </row>
    <row r="85">
      <c r="B85" s="4" t="s">
        <v>15</v>
      </c>
      <c r="C85" s="8">
        <f t="shared" ref="C85:J85" si="12">C67-C76</f>
        <v>-0.09070535657</v>
      </c>
      <c r="D85" s="8">
        <f t="shared" si="12"/>
        <v>-0.01951559808</v>
      </c>
      <c r="E85" s="8">
        <f t="shared" si="12"/>
        <v>-0.0120701166</v>
      </c>
      <c r="F85" s="8">
        <f t="shared" si="12"/>
        <v>-0.1089713646</v>
      </c>
      <c r="G85" s="8">
        <f t="shared" si="12"/>
        <v>-0.05943971973</v>
      </c>
      <c r="H85" s="8">
        <f t="shared" si="12"/>
        <v>-0.0794979137</v>
      </c>
      <c r="I85" s="9">
        <f t="shared" si="12"/>
        <v>-1.551892243</v>
      </c>
      <c r="J85" s="9">
        <f t="shared" si="12"/>
        <v>10.6224279</v>
      </c>
    </row>
    <row r="86">
      <c r="B86" s="4" t="s">
        <v>16</v>
      </c>
      <c r="C86" s="8">
        <f t="shared" ref="C86:J86" si="13">C68-C77</f>
        <v>0.2287581699</v>
      </c>
      <c r="D86" s="8">
        <f t="shared" si="13"/>
        <v>0.0007983378622</v>
      </c>
      <c r="E86" s="8">
        <f t="shared" si="13"/>
        <v>0.006380112785</v>
      </c>
      <c r="F86" s="8">
        <f t="shared" si="13"/>
        <v>0.1789171841</v>
      </c>
      <c r="G86" s="8">
        <f t="shared" si="13"/>
        <v>0.2758952222</v>
      </c>
      <c r="H86" s="8">
        <f t="shared" si="13"/>
        <v>0.3145581898</v>
      </c>
      <c r="I86" s="9">
        <f t="shared" si="13"/>
        <v>8.333333333</v>
      </c>
      <c r="J86" s="9">
        <f t="shared" si="13"/>
        <v>-31.20915033</v>
      </c>
    </row>
    <row r="87">
      <c r="B87" s="4" t="s">
        <v>17</v>
      </c>
      <c r="C87" s="8">
        <f t="shared" ref="C87:J87" si="14">C69-C78</f>
        <v>0.2140522876</v>
      </c>
      <c r="D87" s="8">
        <f t="shared" si="14"/>
        <v>-0.0707741277</v>
      </c>
      <c r="E87" s="8">
        <f t="shared" si="14"/>
        <v>-0.07354060613</v>
      </c>
      <c r="F87" s="8">
        <f t="shared" si="14"/>
        <v>0.1895902923</v>
      </c>
      <c r="G87" s="8">
        <f t="shared" si="14"/>
        <v>0.05447239008</v>
      </c>
      <c r="H87" s="8">
        <f t="shared" si="14"/>
        <v>0.190009971</v>
      </c>
      <c r="I87" s="9">
        <f t="shared" si="14"/>
        <v>4.901960784</v>
      </c>
      <c r="J87" s="9">
        <f t="shared" si="14"/>
        <v>-26.30718954</v>
      </c>
    </row>
    <row r="88">
      <c r="B88" s="4" t="s">
        <v>19</v>
      </c>
      <c r="C88" s="8">
        <f t="shared" ref="C88:J88" si="15">C70-C79</f>
        <v>0.0637254902</v>
      </c>
      <c r="D88" s="8">
        <f t="shared" si="15"/>
        <v>-0.09309796503</v>
      </c>
      <c r="E88" s="8">
        <f t="shared" si="15"/>
        <v>-0.07344596628</v>
      </c>
      <c r="F88" s="8">
        <f t="shared" si="15"/>
        <v>-0.09675792736</v>
      </c>
      <c r="G88" s="8">
        <f t="shared" si="15"/>
        <v>-0.2058548452</v>
      </c>
      <c r="H88" s="8">
        <f t="shared" si="15"/>
        <v>-0.1423518189</v>
      </c>
      <c r="I88" s="9">
        <f t="shared" si="15"/>
        <v>6.535947712</v>
      </c>
      <c r="J88" s="9">
        <f t="shared" si="15"/>
        <v>-12.90849673</v>
      </c>
    </row>
    <row r="89">
      <c r="B89" s="4" t="s">
        <v>24</v>
      </c>
      <c r="C89" s="8">
        <f t="shared" ref="C89:J89" si="16">C71-C80</f>
        <v>0.7058823529</v>
      </c>
      <c r="D89" s="8">
        <f t="shared" si="16"/>
        <v>0.2356246274</v>
      </c>
      <c r="E89" s="8">
        <f t="shared" si="16"/>
        <v>0.1989287625</v>
      </c>
      <c r="F89" s="8">
        <f t="shared" si="16"/>
        <v>0.7709709345</v>
      </c>
      <c r="G89" s="8">
        <f t="shared" si="16"/>
        <v>0.4024697056</v>
      </c>
      <c r="H89" s="8">
        <f t="shared" si="16"/>
        <v>0.7053705891</v>
      </c>
      <c r="I89" s="9">
        <f t="shared" si="16"/>
        <v>2.777777778</v>
      </c>
      <c r="J89" s="9">
        <f t="shared" si="16"/>
        <v>-73.36601307</v>
      </c>
    </row>
    <row r="90">
      <c r="B90" s="4" t="s">
        <v>22</v>
      </c>
      <c r="C90" s="8">
        <f t="shared" ref="C90:J90" si="17">C72-C81</f>
        <v>0.2124183007</v>
      </c>
      <c r="D90" s="8">
        <f t="shared" si="17"/>
        <v>-0.008992763941</v>
      </c>
      <c r="E90" s="8">
        <f t="shared" si="17"/>
        <v>-0.0120701166</v>
      </c>
      <c r="F90" s="8">
        <f t="shared" si="17"/>
        <v>0.1895902923</v>
      </c>
      <c r="G90" s="8">
        <f t="shared" si="17"/>
        <v>0.09104922248</v>
      </c>
      <c r="H90" s="8">
        <f t="shared" si="17"/>
        <v>0.190009971</v>
      </c>
      <c r="I90" s="9">
        <f t="shared" si="17"/>
        <v>8.333333333</v>
      </c>
      <c r="J90" s="9">
        <f t="shared" si="17"/>
        <v>-25.65359477</v>
      </c>
    </row>
    <row r="92">
      <c r="B92" s="2" t="s">
        <v>35</v>
      </c>
    </row>
    <row r="94">
      <c r="B94" s="1" t="s">
        <v>36</v>
      </c>
      <c r="O94" s="2" t="s">
        <v>1</v>
      </c>
    </row>
    <row r="95">
      <c r="B95" s="3" t="s">
        <v>2</v>
      </c>
      <c r="C95" s="3" t="s">
        <v>3</v>
      </c>
      <c r="D95" s="3" t="s">
        <v>4</v>
      </c>
      <c r="E95" s="3" t="s">
        <v>5</v>
      </c>
      <c r="F95" s="3" t="s">
        <v>6</v>
      </c>
      <c r="G95" s="3" t="s">
        <v>7</v>
      </c>
      <c r="H95" s="3" t="s">
        <v>8</v>
      </c>
      <c r="I95" s="3" t="s">
        <v>9</v>
      </c>
      <c r="J95" s="3" t="s">
        <v>10</v>
      </c>
      <c r="K95" s="3" t="s">
        <v>11</v>
      </c>
      <c r="L95" s="3" t="s">
        <v>12</v>
      </c>
      <c r="M95" s="3" t="s">
        <v>13</v>
      </c>
      <c r="N95" s="3" t="s">
        <v>14</v>
      </c>
      <c r="O95" s="3" t="s">
        <v>3</v>
      </c>
      <c r="P95" s="3" t="s">
        <v>4</v>
      </c>
      <c r="Q95" s="3" t="s">
        <v>5</v>
      </c>
      <c r="R95" s="3" t="s">
        <v>6</v>
      </c>
      <c r="S95" s="3" t="s">
        <v>7</v>
      </c>
      <c r="T95" s="3" t="s">
        <v>8</v>
      </c>
      <c r="U95" s="3" t="s">
        <v>9</v>
      </c>
      <c r="V95" s="3" t="s">
        <v>10</v>
      </c>
    </row>
    <row r="96">
      <c r="B96" s="4" t="s">
        <v>15</v>
      </c>
      <c r="C96" s="5">
        <v>0.757873966493926</v>
      </c>
      <c r="D96" s="5">
        <v>0.846828737800001</v>
      </c>
      <c r="E96" s="5">
        <v>0.861334386901876</v>
      </c>
      <c r="F96" s="5">
        <v>0.765569637657125</v>
      </c>
      <c r="G96" s="5">
        <v>0.760439686810835</v>
      </c>
      <c r="H96" s="5">
        <v>0.751774770273143</v>
      </c>
      <c r="I96" s="6">
        <v>11.5862874443923</v>
      </c>
      <c r="J96" s="6">
        <v>12.626315906215</v>
      </c>
      <c r="K96" s="7">
        <v>51.0</v>
      </c>
      <c r="L96" s="7">
        <v>36.75</v>
      </c>
      <c r="M96" s="7">
        <v>15.75</v>
      </c>
      <c r="N96" s="7">
        <v>12.75</v>
      </c>
      <c r="O96" s="7">
        <v>0.0868365766869921</v>
      </c>
      <c r="P96" s="7">
        <v>0.0351436104207786</v>
      </c>
      <c r="Q96" s="7">
        <v>0.0323374295149665</v>
      </c>
      <c r="R96" s="7">
        <v>0.0911618410517623</v>
      </c>
      <c r="S96" s="7">
        <v>0.0750689640202125</v>
      </c>
      <c r="T96" s="7">
        <v>0.0878659570049596</v>
      </c>
      <c r="U96" s="7">
        <v>3.02476967917939</v>
      </c>
      <c r="V96" s="7">
        <v>10.043165542524</v>
      </c>
    </row>
    <row r="97">
      <c r="B97" s="4" t="s">
        <v>16</v>
      </c>
      <c r="C97" s="5">
        <v>0.895424836601307</v>
      </c>
      <c r="D97" s="5">
        <v>0.931901890650268</v>
      </c>
      <c r="E97" s="5">
        <v>0.913322044287663</v>
      </c>
      <c r="F97" s="5">
        <v>0.905768980275944</v>
      </c>
      <c r="G97" s="5">
        <v>0.904812022175079</v>
      </c>
      <c r="H97" s="5">
        <v>0.895114646470895</v>
      </c>
      <c r="I97" s="6">
        <v>10.2941176470588</v>
      </c>
      <c r="J97" s="6">
        <v>0.163398692810457</v>
      </c>
      <c r="K97" s="7">
        <v>68.25</v>
      </c>
      <c r="L97" s="7">
        <v>84.75</v>
      </c>
      <c r="M97" s="7">
        <v>22.75</v>
      </c>
      <c r="N97" s="7">
        <v>28.0</v>
      </c>
      <c r="O97" s="7">
        <v>0.0394870783450802</v>
      </c>
      <c r="P97" s="7">
        <v>0.0193834831721742</v>
      </c>
      <c r="Q97" s="7">
        <v>0.0259225164083814</v>
      </c>
      <c r="R97" s="7">
        <v>0.0286407035954097</v>
      </c>
      <c r="S97" s="7">
        <v>0.0377665735711849</v>
      </c>
      <c r="T97" s="7">
        <v>0.0397802313775305</v>
      </c>
      <c r="U97" s="7">
        <v>3.67919289189467</v>
      </c>
      <c r="V97" s="7">
        <v>0.283014837838051</v>
      </c>
    </row>
    <row r="98">
      <c r="B98" s="4" t="s">
        <v>17</v>
      </c>
      <c r="C98" s="5">
        <v>0.897058823529411</v>
      </c>
      <c r="D98" s="5">
        <v>0.857351571943458</v>
      </c>
      <c r="E98" s="5">
        <v>0.856063062326353</v>
      </c>
      <c r="F98" s="5">
        <v>0.869524474966855</v>
      </c>
      <c r="G98" s="5">
        <v>0.814768286714946</v>
      </c>
      <c r="H98" s="5">
        <v>0.835084470547892</v>
      </c>
      <c r="I98" s="6">
        <v>6.86274509803921</v>
      </c>
      <c r="J98" s="6">
        <v>3.4313725490196</v>
      </c>
      <c r="K98" s="7">
        <v>121.5</v>
      </c>
      <c r="L98" s="7">
        <v>31.5</v>
      </c>
      <c r="M98" s="7">
        <v>40.0</v>
      </c>
      <c r="N98" s="7">
        <v>10.75</v>
      </c>
      <c r="O98" s="7">
        <v>0.0880990233118206</v>
      </c>
      <c r="P98" s="7">
        <v>0.108914741964349</v>
      </c>
      <c r="Q98" s="7">
        <v>0.118927801869014</v>
      </c>
      <c r="R98" s="7">
        <v>0.142492331873047</v>
      </c>
      <c r="S98" s="7">
        <v>0.125797340874213</v>
      </c>
      <c r="T98" s="7">
        <v>0.129937316626524</v>
      </c>
      <c r="U98" s="7">
        <v>5.27957334032794</v>
      </c>
      <c r="V98" s="7">
        <v>4.01242782934924</v>
      </c>
    </row>
    <row r="99">
      <c r="B99" s="4" t="s">
        <v>22</v>
      </c>
      <c r="C99" s="5">
        <f t="shared" ref="C99:J99" si="18">MEDIAN(C96:C98)</f>
        <v>0.8954248366</v>
      </c>
      <c r="D99" s="5">
        <f t="shared" si="18"/>
        <v>0.8573515719</v>
      </c>
      <c r="E99" s="5">
        <f t="shared" si="18"/>
        <v>0.8613343869</v>
      </c>
      <c r="F99" s="5">
        <f t="shared" si="18"/>
        <v>0.869524475</v>
      </c>
      <c r="G99" s="5">
        <f t="shared" si="18"/>
        <v>0.8147682867</v>
      </c>
      <c r="H99" s="5">
        <f t="shared" si="18"/>
        <v>0.8350844705</v>
      </c>
      <c r="I99" s="6">
        <f t="shared" si="18"/>
        <v>10.29411765</v>
      </c>
      <c r="J99" s="6">
        <f t="shared" si="18"/>
        <v>3.431372549</v>
      </c>
      <c r="O99" s="10">
        <f t="shared" ref="O99:V99" si="19">MEDIAN(O96:O98)</f>
        <v>0.08683657669</v>
      </c>
      <c r="P99" s="10">
        <f t="shared" si="19"/>
        <v>0.03514361042</v>
      </c>
      <c r="Q99" s="10">
        <f t="shared" si="19"/>
        <v>0.03233742951</v>
      </c>
      <c r="R99" s="10">
        <f t="shared" si="19"/>
        <v>0.09116184105</v>
      </c>
      <c r="S99" s="10">
        <f t="shared" si="19"/>
        <v>0.07506896402</v>
      </c>
      <c r="T99" s="10">
        <f t="shared" si="19"/>
        <v>0.087865957</v>
      </c>
      <c r="U99" s="10">
        <f t="shared" si="19"/>
        <v>3.679192892</v>
      </c>
      <c r="V99" s="10">
        <f t="shared" si="19"/>
        <v>4.012427829</v>
      </c>
    </row>
    <row r="101">
      <c r="B101" s="1" t="s">
        <v>37</v>
      </c>
      <c r="O101" s="2" t="s">
        <v>1</v>
      </c>
    </row>
    <row r="102">
      <c r="B102" s="3" t="s">
        <v>2</v>
      </c>
      <c r="C102" s="3" t="s">
        <v>3</v>
      </c>
      <c r="D102" s="3" t="s">
        <v>4</v>
      </c>
      <c r="E102" s="3" t="s">
        <v>5</v>
      </c>
      <c r="F102" s="3" t="s">
        <v>6</v>
      </c>
      <c r="G102" s="3" t="s">
        <v>7</v>
      </c>
      <c r="H102" s="3" t="s">
        <v>8</v>
      </c>
      <c r="I102" s="3" t="s">
        <v>9</v>
      </c>
      <c r="J102" s="3" t="s">
        <v>10</v>
      </c>
      <c r="K102" s="3" t="s">
        <v>11</v>
      </c>
      <c r="L102" s="3" t="s">
        <v>12</v>
      </c>
      <c r="M102" s="3" t="s">
        <v>13</v>
      </c>
      <c r="N102" s="3" t="s">
        <v>14</v>
      </c>
      <c r="O102" s="3" t="s">
        <v>3</v>
      </c>
      <c r="P102" s="3" t="s">
        <v>4</v>
      </c>
      <c r="Q102" s="3" t="s">
        <v>5</v>
      </c>
      <c r="R102" s="3" t="s">
        <v>6</v>
      </c>
      <c r="S102" s="3" t="s">
        <v>7</v>
      </c>
      <c r="T102" s="3" t="s">
        <v>8</v>
      </c>
      <c r="U102" s="3" t="s">
        <v>9</v>
      </c>
      <c r="V102" s="3" t="s">
        <v>10</v>
      </c>
    </row>
    <row r="103">
      <c r="B103" s="4" t="s">
        <v>15</v>
      </c>
      <c r="C103" s="5">
        <v>0.897193702693242</v>
      </c>
      <c r="D103" s="5">
        <v>0.877808305202935</v>
      </c>
      <c r="E103" s="5">
        <v>0.876398240380017</v>
      </c>
      <c r="F103" s="5">
        <v>0.924327349909977</v>
      </c>
      <c r="G103" s="5">
        <v>0.875580223750955</v>
      </c>
      <c r="H103" s="5">
        <v>0.887641180623526</v>
      </c>
      <c r="I103" s="6">
        <v>10.2806297306757</v>
      </c>
      <c r="J103" s="6">
        <v>0.0</v>
      </c>
      <c r="K103" s="7">
        <v>51.0</v>
      </c>
      <c r="L103" s="7">
        <v>36.75</v>
      </c>
      <c r="M103" s="7">
        <v>845.0</v>
      </c>
      <c r="N103" s="7">
        <v>307.0</v>
      </c>
      <c r="O103" s="7">
        <v>0.0153408658626913</v>
      </c>
      <c r="P103" s="7">
        <v>0.025913805932904</v>
      </c>
      <c r="Q103" s="7">
        <v>0.0251697865234952</v>
      </c>
      <c r="R103" s="7">
        <v>0.0140478344043925</v>
      </c>
      <c r="S103" s="7">
        <v>0.0182729397453658</v>
      </c>
      <c r="T103" s="7">
        <v>0.0151346524529748</v>
      </c>
      <c r="U103" s="7">
        <v>1.53408658626913</v>
      </c>
      <c r="V103" s="7">
        <v>0.0</v>
      </c>
    </row>
    <row r="104">
      <c r="B104" s="4" t="s">
        <v>16</v>
      </c>
      <c r="C104" s="5">
        <v>0.553921568627451</v>
      </c>
      <c r="D104" s="5">
        <v>0.845001874582092</v>
      </c>
      <c r="E104" s="5">
        <v>0.81728153678026</v>
      </c>
      <c r="F104" s="5">
        <v>0.276960784313725</v>
      </c>
      <c r="G104" s="5">
        <v>0.5</v>
      </c>
      <c r="H104" s="5">
        <v>0.356447641741899</v>
      </c>
      <c r="I104" s="6">
        <v>0.0</v>
      </c>
      <c r="J104" s="6">
        <v>44.6078431372549</v>
      </c>
      <c r="K104" s="7">
        <v>68.25</v>
      </c>
      <c r="L104" s="7">
        <v>84.75</v>
      </c>
      <c r="M104" s="7">
        <v>32.0</v>
      </c>
      <c r="N104" s="7">
        <v>230.0</v>
      </c>
      <c r="O104" s="7">
        <v>0.00849044513514156</v>
      </c>
      <c r="P104" s="7">
        <v>0.0159220357229479</v>
      </c>
      <c r="Q104" s="7">
        <v>0.0168663572278003</v>
      </c>
      <c r="R104" s="7">
        <v>0.00424522256757078</v>
      </c>
      <c r="S104" s="7">
        <v>0.0</v>
      </c>
      <c r="T104" s="7">
        <v>0.00352044482457089</v>
      </c>
      <c r="U104" s="7">
        <v>0.0</v>
      </c>
      <c r="V104" s="7">
        <v>0.849044513514155</v>
      </c>
    </row>
    <row r="105">
      <c r="B105" s="4" t="s">
        <v>17</v>
      </c>
      <c r="C105" s="5">
        <v>0.318627450980392</v>
      </c>
      <c r="D105" s="5">
        <v>0.910220282616818</v>
      </c>
      <c r="E105" s="5">
        <v>0.907431422024562</v>
      </c>
      <c r="F105" s="5">
        <v>0.615768350232095</v>
      </c>
      <c r="G105" s="5">
        <v>0.570821598363971</v>
      </c>
      <c r="H105" s="5">
        <v>0.310940598142905</v>
      </c>
      <c r="I105" s="6">
        <v>0.0</v>
      </c>
      <c r="J105" s="6">
        <v>68.1372549019607</v>
      </c>
      <c r="K105" s="7">
        <v>121.5</v>
      </c>
      <c r="L105" s="7">
        <v>31.5</v>
      </c>
      <c r="M105" s="7">
        <v>85.0</v>
      </c>
      <c r="N105" s="7">
        <v>151.0</v>
      </c>
      <c r="O105" s="7">
        <v>0.0300848899338594</v>
      </c>
      <c r="P105" s="7">
        <v>0.003993944202134</v>
      </c>
      <c r="Q105" s="7">
        <v>0.00350402938529143</v>
      </c>
      <c r="R105" s="7">
        <v>0.0213401180581512</v>
      </c>
      <c r="S105" s="7">
        <v>0.00661940712561596</v>
      </c>
      <c r="T105" s="7">
        <v>0.0264300913445598</v>
      </c>
      <c r="U105" s="7">
        <v>0.0</v>
      </c>
      <c r="V105" s="7">
        <v>3.00848899338594</v>
      </c>
    </row>
    <row r="106">
      <c r="B106" s="4" t="s">
        <v>22</v>
      </c>
      <c r="C106" s="5">
        <f t="shared" ref="C106:J106" si="20">MEDIAN(C103:C105)</f>
        <v>0.5539215686</v>
      </c>
      <c r="D106" s="5">
        <f t="shared" si="20"/>
        <v>0.8778083052</v>
      </c>
      <c r="E106" s="5">
        <f t="shared" si="20"/>
        <v>0.8763982404</v>
      </c>
      <c r="F106" s="5">
        <f t="shared" si="20"/>
        <v>0.6157683502</v>
      </c>
      <c r="G106" s="5">
        <f t="shared" si="20"/>
        <v>0.5708215984</v>
      </c>
      <c r="H106" s="5">
        <f t="shared" si="20"/>
        <v>0.3564476417</v>
      </c>
      <c r="I106" s="6">
        <f t="shared" si="20"/>
        <v>0</v>
      </c>
      <c r="J106" s="6">
        <f t="shared" si="20"/>
        <v>44.60784314</v>
      </c>
      <c r="O106" s="10">
        <f t="shared" ref="O106:V106" si="21">MEDIAN(O103:O105)</f>
        <v>0.01534086586</v>
      </c>
      <c r="P106" s="10">
        <f t="shared" si="21"/>
        <v>0.01592203572</v>
      </c>
      <c r="Q106" s="10">
        <f t="shared" si="21"/>
        <v>0.01686635723</v>
      </c>
      <c r="R106" s="10">
        <f t="shared" si="21"/>
        <v>0.0140478344</v>
      </c>
      <c r="S106" s="10">
        <f t="shared" si="21"/>
        <v>0.006619407126</v>
      </c>
      <c r="T106" s="10">
        <f t="shared" si="21"/>
        <v>0.01513465245</v>
      </c>
      <c r="U106" s="10">
        <f t="shared" si="21"/>
        <v>0</v>
      </c>
      <c r="V106" s="10">
        <f t="shared" si="21"/>
        <v>0.8490445135</v>
      </c>
    </row>
    <row r="108">
      <c r="B108" s="1" t="s">
        <v>38</v>
      </c>
      <c r="O108" s="2" t="s">
        <v>1</v>
      </c>
    </row>
    <row r="109">
      <c r="B109" s="3" t="s">
        <v>2</v>
      </c>
      <c r="C109" s="3" t="s">
        <v>3</v>
      </c>
      <c r="D109" s="3" t="s">
        <v>4</v>
      </c>
      <c r="E109" s="3" t="s">
        <v>5</v>
      </c>
      <c r="F109" s="3" t="s">
        <v>6</v>
      </c>
      <c r="G109" s="3" t="s">
        <v>7</v>
      </c>
      <c r="H109" s="3" t="s">
        <v>8</v>
      </c>
      <c r="I109" s="3" t="s">
        <v>9</v>
      </c>
      <c r="J109" s="3" t="s">
        <v>10</v>
      </c>
      <c r="K109" s="3" t="s">
        <v>11</v>
      </c>
      <c r="L109" s="3" t="s">
        <v>12</v>
      </c>
      <c r="M109" s="3" t="s">
        <v>13</v>
      </c>
      <c r="N109" s="3" t="s">
        <v>14</v>
      </c>
      <c r="O109" s="3" t="s">
        <v>3</v>
      </c>
      <c r="P109" s="3" t="s">
        <v>4</v>
      </c>
      <c r="Q109" s="3" t="s">
        <v>5</v>
      </c>
      <c r="R109" s="3" t="s">
        <v>6</v>
      </c>
      <c r="S109" s="3" t="s">
        <v>7</v>
      </c>
      <c r="T109" s="3" t="s">
        <v>8</v>
      </c>
      <c r="U109" s="3" t="s">
        <v>9</v>
      </c>
      <c r="V109" s="3" t="s">
        <v>10</v>
      </c>
    </row>
    <row r="110">
      <c r="B110" s="4" t="s">
        <v>15</v>
      </c>
      <c r="C110" s="5">
        <v>0.848579323061974</v>
      </c>
      <c r="D110" s="5">
        <v>0.866344335884879</v>
      </c>
      <c r="E110" s="5">
        <v>0.873404503504812</v>
      </c>
      <c r="F110" s="5">
        <v>0.874541002298355</v>
      </c>
      <c r="G110" s="5">
        <v>0.81987940653698</v>
      </c>
      <c r="H110" s="5">
        <v>0.831272683968723</v>
      </c>
      <c r="I110" s="6">
        <v>13.1381796876394</v>
      </c>
      <c r="J110" s="6">
        <v>2.00388800616303</v>
      </c>
      <c r="K110" s="7">
        <v>51.0</v>
      </c>
      <c r="L110" s="7">
        <v>36.75</v>
      </c>
      <c r="M110" s="7">
        <v>862.0</v>
      </c>
      <c r="N110" s="7">
        <v>319.25</v>
      </c>
      <c r="O110" s="7">
        <v>0.0158834320034217</v>
      </c>
      <c r="P110" s="7">
        <v>0.0354645322681632</v>
      </c>
      <c r="Q110" s="7">
        <v>0.0297070942742779</v>
      </c>
      <c r="R110" s="7">
        <v>0.0233559993106091</v>
      </c>
      <c r="S110" s="7">
        <v>0.0318572868579346</v>
      </c>
      <c r="T110" s="7">
        <v>0.0244839760286165</v>
      </c>
      <c r="U110" s="7">
        <v>1.47824769821762</v>
      </c>
      <c r="V110" s="7">
        <v>1.71129908412366</v>
      </c>
    </row>
    <row r="111">
      <c r="B111" s="4" t="s">
        <v>16</v>
      </c>
      <c r="C111" s="5">
        <v>0.666666666666666</v>
      </c>
      <c r="D111" s="5">
        <v>0.931103552788093</v>
      </c>
      <c r="E111" s="5">
        <v>0.906941931503088</v>
      </c>
      <c r="F111" s="5">
        <v>0.726851796214673</v>
      </c>
      <c r="G111" s="5">
        <v>0.628916799969512</v>
      </c>
      <c r="H111" s="5">
        <v>0.580556456685517</v>
      </c>
      <c r="I111" s="6">
        <v>1.96078431372549</v>
      </c>
      <c r="J111" s="6">
        <v>31.3725490196078</v>
      </c>
      <c r="K111" s="7">
        <v>68.25</v>
      </c>
      <c r="L111" s="7">
        <v>84.75</v>
      </c>
      <c r="M111" s="7">
        <v>54.75</v>
      </c>
      <c r="N111" s="7">
        <v>258.25</v>
      </c>
      <c r="O111" s="7">
        <v>0.0853435611581738</v>
      </c>
      <c r="P111" s="7">
        <v>0.00802073258151944</v>
      </c>
      <c r="Q111" s="7">
        <v>0.0123011681716787</v>
      </c>
      <c r="R111" s="7">
        <v>0.0768645875752995</v>
      </c>
      <c r="S111" s="7">
        <v>0.102606224855061</v>
      </c>
      <c r="T111" s="7">
        <v>0.145217927347584</v>
      </c>
      <c r="U111" s="7">
        <v>0.80048684404679</v>
      </c>
      <c r="V111" s="7">
        <v>9.31229205802288</v>
      </c>
    </row>
    <row r="112">
      <c r="B112" s="4" t="s">
        <v>17</v>
      </c>
      <c r="C112" s="5">
        <v>0.683006535947712</v>
      </c>
      <c r="D112" s="5">
        <v>0.928125699643499</v>
      </c>
      <c r="E112" s="5">
        <v>0.929603668451953</v>
      </c>
      <c r="F112" s="5">
        <v>0.679934182691654</v>
      </c>
      <c r="G112" s="5">
        <v>0.760295896636873</v>
      </c>
      <c r="H112" s="5">
        <v>0.645074499553593</v>
      </c>
      <c r="I112" s="6">
        <v>1.96078431372549</v>
      </c>
      <c r="J112" s="6">
        <v>29.7385620915032</v>
      </c>
      <c r="K112" s="7">
        <v>121.5</v>
      </c>
      <c r="L112" s="7">
        <v>31.5</v>
      </c>
      <c r="M112" s="7">
        <v>125.5</v>
      </c>
      <c r="N112" s="7">
        <v>161.5</v>
      </c>
      <c r="O112" s="7">
        <v>0.0795803638031759</v>
      </c>
      <c r="P112" s="7">
        <v>0.0225650665824885</v>
      </c>
      <c r="Q112" s="7">
        <v>0.0185587044170374</v>
      </c>
      <c r="R112" s="7">
        <v>0.0504457725432507</v>
      </c>
      <c r="S112" s="7">
        <v>0.0391698600328773</v>
      </c>
      <c r="T112" s="7">
        <v>0.0753392102657791</v>
      </c>
      <c r="U112" s="7">
        <v>1.2227638518869</v>
      </c>
      <c r="V112" s="7">
        <v>9.03876907577734</v>
      </c>
    </row>
    <row r="113">
      <c r="B113" s="4" t="s">
        <v>22</v>
      </c>
      <c r="C113" s="5">
        <f t="shared" ref="C113:J113" si="22">MEDIAN(C110:C112)</f>
        <v>0.6830065359</v>
      </c>
      <c r="D113" s="5">
        <f t="shared" si="22"/>
        <v>0.9281256996</v>
      </c>
      <c r="E113" s="5">
        <f t="shared" si="22"/>
        <v>0.9069419315</v>
      </c>
      <c r="F113" s="5">
        <f t="shared" si="22"/>
        <v>0.7268517962</v>
      </c>
      <c r="G113" s="5">
        <f t="shared" si="22"/>
        <v>0.7602958966</v>
      </c>
      <c r="H113" s="5">
        <f t="shared" si="22"/>
        <v>0.6450744996</v>
      </c>
      <c r="I113" s="6">
        <f t="shared" si="22"/>
        <v>1.960784314</v>
      </c>
      <c r="J113" s="6">
        <f t="shared" si="22"/>
        <v>29.73856209</v>
      </c>
      <c r="O113" s="10">
        <f t="shared" ref="O113:V113" si="23">MEDIAN(O110:O112)</f>
        <v>0.0795803638</v>
      </c>
      <c r="P113" s="10">
        <f t="shared" si="23"/>
        <v>0.02256506658</v>
      </c>
      <c r="Q113" s="10">
        <f t="shared" si="23"/>
        <v>0.01855870442</v>
      </c>
      <c r="R113" s="10">
        <f t="shared" si="23"/>
        <v>0.05044577254</v>
      </c>
      <c r="S113" s="10">
        <f t="shared" si="23"/>
        <v>0.03916986003</v>
      </c>
      <c r="T113" s="10">
        <f t="shared" si="23"/>
        <v>0.07533921027</v>
      </c>
      <c r="U113" s="10">
        <f t="shared" si="23"/>
        <v>1.222763852</v>
      </c>
      <c r="V113" s="10">
        <f t="shared" si="23"/>
        <v>9.038769076</v>
      </c>
    </row>
    <row r="116">
      <c r="C116" s="4"/>
      <c r="D116" s="4" t="s">
        <v>39</v>
      </c>
      <c r="E116" s="4" t="s">
        <v>40</v>
      </c>
      <c r="F116" s="4" t="s">
        <v>41</v>
      </c>
      <c r="H116" s="4"/>
      <c r="I116" s="4" t="s">
        <v>39</v>
      </c>
      <c r="J116" s="4" t="s">
        <v>40</v>
      </c>
      <c r="K116" s="4" t="s">
        <v>41</v>
      </c>
    </row>
    <row r="117">
      <c r="C117" s="4" t="s">
        <v>42</v>
      </c>
      <c r="D117" s="5">
        <f t="shared" ref="D117:E117" si="24">C106</f>
        <v>0.5539215686</v>
      </c>
      <c r="E117" s="5">
        <f t="shared" si="24"/>
        <v>0.8778083052</v>
      </c>
      <c r="F117" s="5">
        <f>H106</f>
        <v>0.3564476417</v>
      </c>
      <c r="H117" s="4" t="s">
        <v>42</v>
      </c>
      <c r="I117" s="5">
        <f t="shared" ref="I117:J117" si="25">O106</f>
        <v>0.01534086586</v>
      </c>
      <c r="J117" s="5">
        <f t="shared" si="25"/>
        <v>0.01592203572</v>
      </c>
      <c r="K117" s="5">
        <f>T106</f>
        <v>0.01513465245</v>
      </c>
    </row>
    <row r="118">
      <c r="C118" s="4" t="s">
        <v>25</v>
      </c>
      <c r="D118" s="5">
        <f t="shared" ref="D118:E118" si="26">C113</f>
        <v>0.6830065359</v>
      </c>
      <c r="E118" s="5">
        <f t="shared" si="26"/>
        <v>0.9281256996</v>
      </c>
      <c r="F118" s="5">
        <f>H113</f>
        <v>0.6450744996</v>
      </c>
      <c r="H118" s="4" t="s">
        <v>25</v>
      </c>
      <c r="I118" s="5">
        <f t="shared" ref="I118:J118" si="27">O113</f>
        <v>0.0795803638</v>
      </c>
      <c r="J118" s="5">
        <f t="shared" si="27"/>
        <v>0.02256506658</v>
      </c>
      <c r="K118" s="5">
        <f>T113</f>
        <v>0.07533921027</v>
      </c>
    </row>
    <row r="119">
      <c r="C119" s="4" t="s">
        <v>43</v>
      </c>
      <c r="D119" s="5">
        <f t="shared" ref="D119:E119" si="28">C99</f>
        <v>0.8954248366</v>
      </c>
      <c r="E119" s="5">
        <f t="shared" si="28"/>
        <v>0.8573515719</v>
      </c>
      <c r="F119" s="5">
        <f>H99</f>
        <v>0.8350844705</v>
      </c>
      <c r="H119" s="4" t="s">
        <v>43</v>
      </c>
      <c r="I119" s="5">
        <f t="shared" ref="I119:J119" si="29">O99</f>
        <v>0.08683657669</v>
      </c>
      <c r="J119" s="5">
        <f t="shared" si="29"/>
        <v>0.03514361042</v>
      </c>
      <c r="K119" s="5">
        <f>T99</f>
        <v>0.087865957</v>
      </c>
    </row>
    <row r="122">
      <c r="C122" s="4"/>
      <c r="D122" s="4" t="s">
        <v>10</v>
      </c>
      <c r="E122" s="4" t="s">
        <v>9</v>
      </c>
      <c r="H122" s="4"/>
      <c r="I122" s="4" t="s">
        <v>10</v>
      </c>
      <c r="J122" s="4" t="s">
        <v>9</v>
      </c>
    </row>
    <row r="123">
      <c r="C123" s="4" t="s">
        <v>42</v>
      </c>
      <c r="D123" s="11">
        <f>J106</f>
        <v>44.60784314</v>
      </c>
      <c r="E123" s="11">
        <f>I106</f>
        <v>0</v>
      </c>
      <c r="H123" s="4" t="s">
        <v>42</v>
      </c>
      <c r="I123" s="11">
        <f>V106</f>
        <v>0.8490445135</v>
      </c>
      <c r="J123" s="11">
        <f>U106</f>
        <v>0</v>
      </c>
    </row>
    <row r="124">
      <c r="C124" s="4" t="s">
        <v>25</v>
      </c>
      <c r="D124" s="11">
        <f>J113</f>
        <v>29.73856209</v>
      </c>
      <c r="E124" s="11">
        <f>I113</f>
        <v>1.960784314</v>
      </c>
      <c r="H124" s="4" t="s">
        <v>25</v>
      </c>
      <c r="I124" s="11">
        <f>V113</f>
        <v>9.038769076</v>
      </c>
      <c r="J124" s="11">
        <f>U113</f>
        <v>1.222763852</v>
      </c>
    </row>
    <row r="125">
      <c r="C125" s="4" t="s">
        <v>43</v>
      </c>
      <c r="D125" s="11">
        <f>J99</f>
        <v>3.431372549</v>
      </c>
      <c r="E125" s="11">
        <f>I99</f>
        <v>10.29411765</v>
      </c>
      <c r="H125" s="4" t="s">
        <v>43</v>
      </c>
      <c r="I125" s="11">
        <f>V99</f>
        <v>4.012427829</v>
      </c>
      <c r="J125" s="11">
        <f>U99</f>
        <v>3.679192892</v>
      </c>
    </row>
    <row r="127">
      <c r="H127" s="3" t="s">
        <v>44</v>
      </c>
      <c r="I127" s="3" t="s">
        <v>45</v>
      </c>
      <c r="J127" s="3" t="s">
        <v>46</v>
      </c>
      <c r="K127" s="3" t="s">
        <v>47</v>
      </c>
    </row>
    <row r="128">
      <c r="H128" s="1" t="s">
        <v>48</v>
      </c>
    </row>
    <row r="129">
      <c r="H129" s="4" t="s">
        <v>49</v>
      </c>
      <c r="I129" s="7">
        <v>839.0</v>
      </c>
      <c r="J129" s="7">
        <v>295.0</v>
      </c>
      <c r="K129" s="7">
        <v>1134.0</v>
      </c>
    </row>
    <row r="130">
      <c r="H130" s="4" t="s">
        <v>50</v>
      </c>
      <c r="I130" s="7">
        <v>32.0</v>
      </c>
      <c r="J130" s="7">
        <v>199.0</v>
      </c>
      <c r="K130" s="7">
        <v>231.0</v>
      </c>
    </row>
    <row r="131">
      <c r="H131" s="4" t="s">
        <v>51</v>
      </c>
      <c r="I131" s="7">
        <v>83.0</v>
      </c>
      <c r="J131" s="7">
        <v>136.0</v>
      </c>
      <c r="K131" s="7">
        <v>219.0</v>
      </c>
    </row>
    <row r="132">
      <c r="H132" s="1" t="s">
        <v>52</v>
      </c>
    </row>
    <row r="133">
      <c r="H133" s="4" t="s">
        <v>49</v>
      </c>
      <c r="I133" s="7">
        <v>69.0</v>
      </c>
      <c r="J133" s="7">
        <v>49.0</v>
      </c>
      <c r="K133" s="7">
        <v>118.0</v>
      </c>
    </row>
    <row r="134">
      <c r="H134" s="4" t="s">
        <v>50</v>
      </c>
      <c r="I134" s="7">
        <v>91.0</v>
      </c>
      <c r="J134" s="7">
        <v>115.0</v>
      </c>
      <c r="K134" s="7">
        <v>206.0</v>
      </c>
    </row>
    <row r="135">
      <c r="H135" s="4" t="s">
        <v>51</v>
      </c>
      <c r="I135" s="7">
        <v>164.0</v>
      </c>
      <c r="J135" s="7">
        <v>42.0</v>
      </c>
      <c r="K135" s="7">
        <v>206.0</v>
      </c>
    </row>
  </sheetData>
  <mergeCells count="11">
    <mergeCell ref="B92:J92"/>
    <mergeCell ref="O94:V94"/>
    <mergeCell ref="O101:V101"/>
    <mergeCell ref="O108:V108"/>
    <mergeCell ref="O1:V1"/>
    <mergeCell ref="O10:V10"/>
    <mergeCell ref="B31:J31"/>
    <mergeCell ref="O33:V33"/>
    <mergeCell ref="O43:V43"/>
    <mergeCell ref="B63:J63"/>
    <mergeCell ref="O65:V65"/>
  </mergeCells>
  <conditionalFormatting sqref="I3:J8 I12:J17 I21:J29 I35:J40 I45:J50 I67:J71 I76:J80 I96:J99 I103:J106 I110:J113">
    <cfRule type="cellIs" dxfId="0" priority="1" operator="lessThanOrEqual">
      <formula>3</formula>
    </cfRule>
  </conditionalFormatting>
  <conditionalFormatting sqref="C3:H8 C12:H17 C21:H29 C35:H40 C45:H50 C67:H71 C76:H80 C96:H99 C103:H106 C110:H113 D117:F119 I117:K119">
    <cfRule type="cellIs" dxfId="1" priority="2" operator="greaterThan">
      <formula>0.95</formula>
    </cfRule>
  </conditionalFormatting>
  <conditionalFormatting sqref="C3:H8 C12:H17 C21:H29 C35:H40 C45:H50 C67:H71 C76:H80 C96:H99 C103:H106 C110:H113 D117:F119 I117:K119">
    <cfRule type="cellIs" dxfId="2" priority="3" operator="greaterThan">
      <formula>0.85</formula>
    </cfRule>
  </conditionalFormatting>
  <conditionalFormatting sqref="M3:N8">
    <cfRule type="cellIs" dxfId="3" priority="4" operator="lessThan">
      <formula>25</formula>
    </cfRule>
  </conditionalFormatting>
  <conditionalFormatting sqref="M12:N17">
    <cfRule type="cellIs" dxfId="4" priority="5" operator="lessThan">
      <formula>10</formula>
    </cfRule>
  </conditionalFormatting>
  <drawing r:id="rId1"/>
</worksheet>
</file>