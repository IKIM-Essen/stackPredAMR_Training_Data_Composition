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2" sheetId="1" r:id="rId5"/>
  </sheets>
  <definedNames/>
  <calcPr/>
</workbook>
</file>

<file path=xl/sharedStrings.xml><?xml version="1.0" encoding="utf-8"?>
<sst xmlns="http://schemas.openxmlformats.org/spreadsheetml/2006/main" count="173" uniqueCount="32">
  <si>
    <t>Phoenix</t>
  </si>
  <si>
    <t>External Test</t>
  </si>
  <si>
    <t>Std</t>
  </si>
  <si>
    <t>Target</t>
  </si>
  <si>
    <t>Accuracy</t>
  </si>
  <si>
    <t>ROC</t>
  </si>
  <si>
    <t>F1 Score</t>
  </si>
  <si>
    <t>Precision Recall</t>
  </si>
  <si>
    <t>Precision</t>
  </si>
  <si>
    <t>Recall</t>
  </si>
  <si>
    <t>ME</t>
  </si>
  <si>
    <t>VME</t>
  </si>
  <si>
    <t>Amikacin</t>
  </si>
  <si>
    <t>Cefepime</t>
  </si>
  <si>
    <t>Gentamicin</t>
  </si>
  <si>
    <t>Imipenem</t>
  </si>
  <si>
    <t>Levofloxacin</t>
  </si>
  <si>
    <t>Piperacillin-tazobactam</t>
  </si>
  <si>
    <t>Tobramycin</t>
  </si>
  <si>
    <t>Median</t>
  </si>
  <si>
    <t>Combined Test</t>
  </si>
  <si>
    <t>Internal Test</t>
  </si>
  <si>
    <t>VITEK</t>
  </si>
  <si>
    <t>ROC_Mean</t>
  </si>
  <si>
    <t>PR_Mean</t>
  </si>
  <si>
    <t>Precision_Mean</t>
  </si>
  <si>
    <t>Recall_Mean</t>
  </si>
  <si>
    <t>F1_Mean</t>
  </si>
  <si>
    <t>Ampicillin-sulbactam</t>
  </si>
  <si>
    <t>Aztreonam</t>
  </si>
  <si>
    <t>Ceftazidime</t>
  </si>
  <si>
    <t>Cefuroxime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</si>
</sst>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horizontal="center" vertical="bottom"/>
    </xf>
    <xf borderId="1" fillId="4" fontId="2" numFmtId="164" xfId="0" applyAlignment="1" applyBorder="1" applyFill="1" applyFont="1" applyNumberFormat="1">
      <alignment vertical="top"/>
    </xf>
    <xf borderId="1" fillId="4" fontId="2" numFmtId="0" xfId="0" applyAlignment="1" applyBorder="1" applyFill="1" applyFont="1">
      <alignment horizontal="center" vertical="top"/>
    </xf>
    <xf borderId="1" fillId="4" fontId="2" numFmtId="0" xfId="0" applyAlignment="1" applyBorder="1" applyFill="1" applyFont="1">
      <alignment horizontal="center" readingOrder="0" vertical="top"/>
    </xf>
    <xf borderId="1" fillId="4" fontId="2" numFmtId="2" xfId="0" applyAlignment="1" applyBorder="1" applyFill="1" applyFont="1" applyNumberFormat="1">
      <alignment horizontal="center" vertical="top"/>
    </xf>
    <xf borderId="1" fillId="5" fontId="2" numFmtId="0" xfId="0" applyAlignment="1" applyBorder="1" applyFill="1" applyFont="1">
      <alignment readingOrder="0" vertical="top"/>
    </xf>
    <xf borderId="0" fillId="0" fontId="1" numFmtId="0" xfId="0" applyAlignment="1" applyFont="1">
      <alignment horizontal="right" vertical="bottom"/>
    </xf>
    <xf borderId="1" fillId="0" fontId="3" numFmtId="2" xfId="0" applyAlignment="1" applyBorder="1" applyFont="1" applyNumberFormat="1">
      <alignment horizontal="right" vertical="top"/>
    </xf>
    <xf borderId="1" fillId="0" fontId="3" numFmtId="164" xfId="0" applyAlignment="1" applyBorder="1" applyFont="1" applyNumberFormat="1">
      <alignment horizontal="right" vertical="top"/>
    </xf>
    <xf borderId="1" fillId="5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0" fillId="0" fontId="1" numFmtId="2" xfId="0" applyAlignment="1" applyFont="1" applyNumberFormat="1">
      <alignment vertical="bottom"/>
    </xf>
    <xf borderId="1" fillId="5" fontId="2" numFmtId="2" xfId="0" applyAlignment="1" applyBorder="1" applyFill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4" t="s">
        <v>2</v>
      </c>
    </row>
    <row r="3">
      <c r="A3" s="2"/>
      <c r="B3" s="5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8" t="s">
        <v>10</v>
      </c>
      <c r="J3" s="8" t="s">
        <v>11</v>
      </c>
      <c r="K3" s="6" t="s">
        <v>4</v>
      </c>
      <c r="L3" s="6" t="s">
        <v>5</v>
      </c>
      <c r="M3" s="6" t="s">
        <v>6</v>
      </c>
      <c r="N3" s="7" t="s">
        <v>7</v>
      </c>
      <c r="O3" s="7" t="s">
        <v>8</v>
      </c>
      <c r="P3" s="7" t="s">
        <v>9</v>
      </c>
      <c r="Q3" s="8" t="s">
        <v>10</v>
      </c>
      <c r="R3" s="8" t="s">
        <v>11</v>
      </c>
    </row>
    <row r="4">
      <c r="A4" s="2"/>
      <c r="B4" s="9" t="s">
        <v>12</v>
      </c>
      <c r="C4" s="10">
        <v>0.861999999999999</v>
      </c>
      <c r="D4" s="10">
        <v>0.887719926847765</v>
      </c>
      <c r="E4" s="10">
        <v>0.880188678465466</v>
      </c>
      <c r="F4" s="10">
        <v>0.874033803904252</v>
      </c>
      <c r="G4" s="10">
        <v>0.767481171462786</v>
      </c>
      <c r="H4" s="10">
        <v>0.799576575151214</v>
      </c>
      <c r="I4" s="10">
        <v>11.9</v>
      </c>
      <c r="J4" s="10">
        <v>1.9</v>
      </c>
      <c r="K4" s="11">
        <v>0.022494443758404</v>
      </c>
      <c r="L4" s="11">
        <v>0.0219745443973632</v>
      </c>
      <c r="M4" s="11">
        <v>0.0281208641334173</v>
      </c>
      <c r="N4" s="11">
        <v>0.0243178326972661</v>
      </c>
      <c r="O4" s="11">
        <v>0.0167643828736211</v>
      </c>
      <c r="P4" s="11">
        <v>0.018967310320975</v>
      </c>
      <c r="Q4" s="11">
        <v>1.71464281994822</v>
      </c>
      <c r="R4" s="11">
        <v>0.860232526704262</v>
      </c>
    </row>
    <row r="5">
      <c r="A5" s="2"/>
      <c r="B5" s="9" t="s">
        <v>13</v>
      </c>
      <c r="C5" s="11">
        <v>0.667132227246125</v>
      </c>
      <c r="D5" s="11">
        <v>0.5674371909871</v>
      </c>
      <c r="E5" s="11">
        <v>0.560762048741925</v>
      </c>
      <c r="F5" s="11">
        <v>0.560046458143972</v>
      </c>
      <c r="G5" s="11">
        <v>0.521161169174355</v>
      </c>
      <c r="H5" s="11">
        <v>0.485001149264024</v>
      </c>
      <c r="I5" s="12">
        <v>4.88097666175409</v>
      </c>
      <c r="J5" s="12">
        <v>28.4058006136333</v>
      </c>
      <c r="K5" s="11">
        <v>0.0449096207897122</v>
      </c>
      <c r="L5" s="11">
        <v>0.0505388610009735</v>
      </c>
      <c r="M5" s="11">
        <v>0.0358985972042475</v>
      </c>
      <c r="N5" s="11">
        <v>0.106189801878614</v>
      </c>
      <c r="O5" s="11">
        <v>0.0319015934367848</v>
      </c>
      <c r="P5" s="11">
        <v>0.0498353091981733</v>
      </c>
      <c r="Q5" s="11">
        <v>1.69536598467575</v>
      </c>
      <c r="R5" s="11">
        <v>3.61039132290259</v>
      </c>
    </row>
    <row r="6">
      <c r="A6" s="2"/>
      <c r="B6" s="9" t="s">
        <v>14</v>
      </c>
      <c r="C6" s="11">
        <v>0.857</v>
      </c>
      <c r="D6" s="11">
        <v>0.884324734471576</v>
      </c>
      <c r="E6" s="11">
        <v>0.862693114603303</v>
      </c>
      <c r="F6" s="11">
        <v>0.85713341358257</v>
      </c>
      <c r="G6" s="11">
        <v>0.868243516383884</v>
      </c>
      <c r="H6" s="11">
        <v>0.85530640231579</v>
      </c>
      <c r="I6" s="12">
        <v>11.3</v>
      </c>
      <c r="J6" s="12">
        <v>3.0</v>
      </c>
      <c r="K6" s="11">
        <v>0.0169115345252877</v>
      </c>
      <c r="L6" s="11">
        <v>0.0175367213127536</v>
      </c>
      <c r="M6" s="11">
        <v>0.0283603183755667</v>
      </c>
      <c r="N6" s="11">
        <v>0.0209060507490034</v>
      </c>
      <c r="O6" s="11">
        <v>0.00998150047005504</v>
      </c>
      <c r="P6" s="11">
        <v>0.0191283278086524</v>
      </c>
      <c r="Q6" s="11">
        <v>2.48193472919817</v>
      </c>
      <c r="R6" s="11">
        <v>1.44913767461894</v>
      </c>
    </row>
    <row r="7">
      <c r="A7" s="2"/>
      <c r="B7" s="9" t="s">
        <v>15</v>
      </c>
      <c r="C7" s="11">
        <v>0.291</v>
      </c>
      <c r="D7" s="11">
        <v>0.597821286751562</v>
      </c>
      <c r="E7" s="11">
        <v>0.576149141779565</v>
      </c>
      <c r="F7" s="11">
        <v>0.524864267024454</v>
      </c>
      <c r="G7" s="11">
        <v>0.510666488286497</v>
      </c>
      <c r="H7" s="11">
        <v>0.241211072911126</v>
      </c>
      <c r="I7" s="12">
        <v>0.1</v>
      </c>
      <c r="J7" s="12">
        <v>70.8</v>
      </c>
      <c r="K7" s="11">
        <v>0.0159373774505092</v>
      </c>
      <c r="L7" s="11">
        <v>0.0874045555721284</v>
      </c>
      <c r="M7" s="11">
        <v>0.0546732632952842</v>
      </c>
      <c r="N7" s="11">
        <v>0.194998405520854</v>
      </c>
      <c r="O7" s="11">
        <v>0.00764842093486385</v>
      </c>
      <c r="P7" s="11">
        <v>0.0184635024213543</v>
      </c>
      <c r="Q7" s="11">
        <v>0.2</v>
      </c>
      <c r="R7" s="11">
        <v>1.77763888346311</v>
      </c>
    </row>
    <row r="8">
      <c r="A8" s="2"/>
      <c r="B8" s="9" t="s">
        <v>16</v>
      </c>
      <c r="C8" s="11">
        <v>0.808</v>
      </c>
      <c r="D8" s="11">
        <v>0.685940526043382</v>
      </c>
      <c r="E8" s="11">
        <v>0.693597350104915</v>
      </c>
      <c r="F8" s="11">
        <v>0.698728418865272</v>
      </c>
      <c r="G8" s="11">
        <v>0.663246543741175</v>
      </c>
      <c r="H8" s="11">
        <v>0.672063426615748</v>
      </c>
      <c r="I8" s="12">
        <v>8.4</v>
      </c>
      <c r="J8" s="12">
        <v>10.8</v>
      </c>
      <c r="K8" s="11">
        <v>0.0614491659829488</v>
      </c>
      <c r="L8" s="11">
        <v>0.0427958141551688</v>
      </c>
      <c r="M8" s="11">
        <v>0.0444797701023135</v>
      </c>
      <c r="N8" s="11">
        <v>0.0677972473931424</v>
      </c>
      <c r="O8" s="11">
        <v>0.0590551283757338</v>
      </c>
      <c r="P8" s="11">
        <v>0.0643544309090581</v>
      </c>
      <c r="Q8" s="11">
        <v>5.8258046654518</v>
      </c>
      <c r="R8" s="11">
        <v>2.15870331449229</v>
      </c>
    </row>
    <row r="9">
      <c r="A9" s="2"/>
      <c r="B9" s="9" t="s">
        <v>17</v>
      </c>
      <c r="C9" s="11">
        <v>0.743</v>
      </c>
      <c r="D9" s="11">
        <v>0.651946885082331</v>
      </c>
      <c r="E9" s="11">
        <v>0.634702213642285</v>
      </c>
      <c r="F9" s="11">
        <v>0.566780438812828</v>
      </c>
      <c r="G9" s="11">
        <v>0.603015001530949</v>
      </c>
      <c r="H9" s="11">
        <v>0.567186529942547</v>
      </c>
      <c r="I9" s="12">
        <v>17.7</v>
      </c>
      <c r="J9" s="12">
        <v>8.0</v>
      </c>
      <c r="K9" s="11">
        <v>0.0307571129984594</v>
      </c>
      <c r="L9" s="11">
        <v>0.0529755309427295</v>
      </c>
      <c r="M9" s="11">
        <v>0.030507677136676</v>
      </c>
      <c r="N9" s="11">
        <v>0.0106829959812719</v>
      </c>
      <c r="O9" s="11">
        <v>0.0358843405139926</v>
      </c>
      <c r="P9" s="11">
        <v>0.00948181017701322</v>
      </c>
      <c r="Q9" s="11">
        <v>4.73919824442911</v>
      </c>
      <c r="R9" s="11">
        <v>2.12132034355964</v>
      </c>
    </row>
    <row r="10">
      <c r="A10" s="2"/>
      <c r="B10" s="9" t="s">
        <v>18</v>
      </c>
      <c r="C10" s="11">
        <v>0.789</v>
      </c>
      <c r="D10" s="11">
        <v>0.83012601553333</v>
      </c>
      <c r="E10" s="11">
        <v>0.809175242036814</v>
      </c>
      <c r="F10" s="11">
        <v>0.75815872595831</v>
      </c>
      <c r="G10" s="11">
        <v>0.760958003062917</v>
      </c>
      <c r="H10" s="11">
        <v>0.758510279393545</v>
      </c>
      <c r="I10" s="12">
        <v>10.9</v>
      </c>
      <c r="J10" s="12">
        <v>10.2</v>
      </c>
      <c r="K10" s="11">
        <v>0.0442040722106006</v>
      </c>
      <c r="L10" s="11">
        <v>0.0543381071174227</v>
      </c>
      <c r="M10" s="11">
        <v>0.0589646422599734</v>
      </c>
      <c r="N10" s="11">
        <v>0.0584968132585552</v>
      </c>
      <c r="O10" s="11">
        <v>0.0532944719561846</v>
      </c>
      <c r="P10" s="11">
        <v>0.05615658285493</v>
      </c>
      <c r="Q10" s="11">
        <v>3.18433666561813</v>
      </c>
      <c r="R10" s="11">
        <v>2.15870331449229</v>
      </c>
    </row>
    <row r="11">
      <c r="A11" s="2"/>
      <c r="B11" s="13" t="s">
        <v>19</v>
      </c>
      <c r="C11" s="11">
        <f t="shared" ref="C11:R11" si="1">MEDIAN(C4:C10)</f>
        <v>0.789</v>
      </c>
      <c r="D11" s="11">
        <f t="shared" si="1"/>
        <v>0.685940526</v>
      </c>
      <c r="E11" s="11">
        <f t="shared" si="1"/>
        <v>0.6935973501</v>
      </c>
      <c r="F11" s="11">
        <f t="shared" si="1"/>
        <v>0.6987284189</v>
      </c>
      <c r="G11" s="11">
        <f t="shared" si="1"/>
        <v>0.6632465437</v>
      </c>
      <c r="H11" s="11">
        <f t="shared" si="1"/>
        <v>0.6720634266</v>
      </c>
      <c r="I11" s="12">
        <f t="shared" si="1"/>
        <v>10.9</v>
      </c>
      <c r="J11" s="12">
        <f t="shared" si="1"/>
        <v>10.2</v>
      </c>
      <c r="K11" s="11">
        <f t="shared" si="1"/>
        <v>0.030757113</v>
      </c>
      <c r="L11" s="11">
        <f t="shared" si="1"/>
        <v>0.050538861</v>
      </c>
      <c r="M11" s="11">
        <f t="shared" si="1"/>
        <v>0.0358985972</v>
      </c>
      <c r="N11" s="11">
        <f t="shared" si="1"/>
        <v>0.05849681326</v>
      </c>
      <c r="O11" s="11">
        <f t="shared" si="1"/>
        <v>0.03190159344</v>
      </c>
      <c r="P11" s="11">
        <f t="shared" si="1"/>
        <v>0.01912832781</v>
      </c>
      <c r="Q11" s="11">
        <f t="shared" si="1"/>
        <v>2.481934729</v>
      </c>
      <c r="R11" s="11">
        <f t="shared" si="1"/>
        <v>2.121320344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3" t="s">
        <v>20</v>
      </c>
      <c r="C13" s="2"/>
      <c r="D13" s="2"/>
      <c r="E13" s="2"/>
      <c r="F13" s="2"/>
      <c r="G13" s="2"/>
      <c r="H13" s="2"/>
      <c r="I13" s="2"/>
      <c r="J13" s="2"/>
      <c r="K13" s="4" t="s">
        <v>2</v>
      </c>
    </row>
    <row r="14">
      <c r="A14" s="2"/>
      <c r="B14" s="14" t="s">
        <v>3</v>
      </c>
      <c r="C14" s="6" t="s">
        <v>4</v>
      </c>
      <c r="D14" s="6" t="s">
        <v>5</v>
      </c>
      <c r="E14" s="6" t="s">
        <v>6</v>
      </c>
      <c r="F14" s="7" t="s">
        <v>7</v>
      </c>
      <c r="G14" s="7" t="s">
        <v>8</v>
      </c>
      <c r="H14" s="7" t="s">
        <v>9</v>
      </c>
      <c r="I14" s="8" t="s">
        <v>10</v>
      </c>
      <c r="J14" s="8" t="s">
        <v>11</v>
      </c>
      <c r="K14" s="6" t="s">
        <v>4</v>
      </c>
      <c r="L14" s="6" t="s">
        <v>5</v>
      </c>
      <c r="M14" s="6" t="s">
        <v>6</v>
      </c>
      <c r="N14" s="7" t="s">
        <v>7</v>
      </c>
      <c r="O14" s="7" t="s">
        <v>8</v>
      </c>
      <c r="P14" s="7" t="s">
        <v>9</v>
      </c>
      <c r="Q14" s="8" t="s">
        <v>10</v>
      </c>
      <c r="R14" s="8" t="s">
        <v>11</v>
      </c>
    </row>
    <row r="15">
      <c r="A15" s="2"/>
      <c r="B15" s="9" t="s">
        <v>12</v>
      </c>
      <c r="C15" s="11">
        <v>0.925</v>
      </c>
      <c r="D15" s="11">
        <v>0.950509498907525</v>
      </c>
      <c r="E15" s="11">
        <v>0.940083475198142</v>
      </c>
      <c r="F15" s="11">
        <v>0.910777886349058</v>
      </c>
      <c r="G15" s="11">
        <v>0.896780631915815</v>
      </c>
      <c r="H15" s="11">
        <v>0.902727021869636</v>
      </c>
      <c r="I15" s="12">
        <v>4.3</v>
      </c>
      <c r="J15" s="12">
        <v>3.2</v>
      </c>
      <c r="K15" s="11">
        <v>0.0141421356237309</v>
      </c>
      <c r="L15" s="11">
        <v>0.00865501935140308</v>
      </c>
      <c r="M15" s="11">
        <v>0.0160873340523183</v>
      </c>
      <c r="N15" s="11">
        <v>0.0157568086562783</v>
      </c>
      <c r="O15" s="11">
        <v>0.0245725824134734</v>
      </c>
      <c r="P15" s="11">
        <v>0.0185244114173595</v>
      </c>
      <c r="Q15" s="11">
        <v>1.16619037896905</v>
      </c>
      <c r="R15" s="11">
        <v>1.16619037896906</v>
      </c>
    </row>
    <row r="16">
      <c r="A16" s="2"/>
      <c r="B16" s="9" t="s">
        <v>13</v>
      </c>
      <c r="C16" s="11">
        <v>0.671559797601593</v>
      </c>
      <c r="D16" s="11">
        <v>0.645033758581247</v>
      </c>
      <c r="E16" s="11">
        <v>0.613772087385751</v>
      </c>
      <c r="F16" s="11">
        <v>0.511214711104051</v>
      </c>
      <c r="G16" s="11">
        <v>0.521334473491522</v>
      </c>
      <c r="H16" s="11">
        <v>0.471579604125281</v>
      </c>
      <c r="I16" s="12">
        <v>3.80759917235513</v>
      </c>
      <c r="J16" s="12">
        <v>29.0364210674855</v>
      </c>
      <c r="K16" s="11">
        <v>0.0268751936973277</v>
      </c>
      <c r="L16" s="11">
        <v>0.0263401645559105</v>
      </c>
      <c r="M16" s="11">
        <v>0.0283667726900127</v>
      </c>
      <c r="N16" s="11">
        <v>0.111458192156031</v>
      </c>
      <c r="O16" s="11">
        <v>0.029326186048388</v>
      </c>
      <c r="P16" s="11">
        <v>0.062134547773975</v>
      </c>
      <c r="Q16" s="11">
        <v>2.19474462754195</v>
      </c>
      <c r="R16" s="11">
        <v>4.77115465993612</v>
      </c>
    </row>
    <row r="17">
      <c r="A17" s="2"/>
      <c r="B17" s="9" t="s">
        <v>14</v>
      </c>
      <c r="C17" s="11">
        <v>0.865</v>
      </c>
      <c r="D17" s="11">
        <v>0.930805770833477</v>
      </c>
      <c r="E17" s="11">
        <v>0.915329214440474</v>
      </c>
      <c r="F17" s="11">
        <v>0.860919650047517</v>
      </c>
      <c r="G17" s="11">
        <v>0.862102576618122</v>
      </c>
      <c r="H17" s="11">
        <v>0.860589635475911</v>
      </c>
      <c r="I17" s="12">
        <v>7.3</v>
      </c>
      <c r="J17" s="12">
        <v>6.2</v>
      </c>
      <c r="K17" s="11">
        <v>0.0134164078649987</v>
      </c>
      <c r="L17" s="11">
        <v>0.014922490468951</v>
      </c>
      <c r="M17" s="11">
        <v>0.0238450644048491</v>
      </c>
      <c r="N17" s="11">
        <v>0.0143309257400267</v>
      </c>
      <c r="O17" s="11">
        <v>0.0125686016412602</v>
      </c>
      <c r="P17" s="11">
        <v>0.0135171641433179</v>
      </c>
      <c r="Q17" s="11">
        <v>1.96468827043885</v>
      </c>
      <c r="R17" s="11">
        <v>1.28840987267251</v>
      </c>
    </row>
    <row r="18">
      <c r="A18" s="2"/>
      <c r="B18" s="9" t="s">
        <v>15</v>
      </c>
      <c r="C18" s="11">
        <v>0.402</v>
      </c>
      <c r="D18" s="11">
        <v>0.708440179313626</v>
      </c>
      <c r="E18" s="11">
        <v>0.636828600133905</v>
      </c>
      <c r="F18" s="11">
        <v>0.644377443722307</v>
      </c>
      <c r="G18" s="11">
        <v>0.583883054580347</v>
      </c>
      <c r="H18" s="11">
        <v>0.387842336601105</v>
      </c>
      <c r="I18" s="12">
        <v>0.4</v>
      </c>
      <c r="J18" s="12">
        <v>59.4</v>
      </c>
      <c r="K18" s="11">
        <v>0.0614491659829488</v>
      </c>
      <c r="L18" s="11">
        <v>0.0788788018794352</v>
      </c>
      <c r="M18" s="11">
        <v>0.0404724482663085</v>
      </c>
      <c r="N18" s="11">
        <v>0.0238431209989135</v>
      </c>
      <c r="O18" s="11">
        <v>0.036332174975965</v>
      </c>
      <c r="P18" s="11">
        <v>0.0700858677700171</v>
      </c>
      <c r="Q18" s="11">
        <v>0.489897948556635</v>
      </c>
      <c r="R18" s="11">
        <v>6.24819974072532</v>
      </c>
    </row>
    <row r="19">
      <c r="A19" s="2"/>
      <c r="B19" s="9" t="s">
        <v>16</v>
      </c>
      <c r="C19" s="11">
        <v>0.855999999999999</v>
      </c>
      <c r="D19" s="11">
        <v>0.894959359708784</v>
      </c>
      <c r="E19" s="11">
        <v>0.824842038432532</v>
      </c>
      <c r="F19" s="11">
        <v>0.785954353926931</v>
      </c>
      <c r="G19" s="11">
        <v>0.692784331818074</v>
      </c>
      <c r="H19" s="11">
        <v>0.721862587096458</v>
      </c>
      <c r="I19" s="12">
        <v>3.6</v>
      </c>
      <c r="J19" s="12">
        <v>10.8</v>
      </c>
      <c r="K19" s="11">
        <v>0.0198494332412792</v>
      </c>
      <c r="L19" s="11">
        <v>0.0395412213575524</v>
      </c>
      <c r="M19" s="11">
        <v>0.043101342158744</v>
      </c>
      <c r="N19" s="11">
        <v>0.0368681371532289</v>
      </c>
      <c r="O19" s="11">
        <v>0.0345599850854739</v>
      </c>
      <c r="P19" s="11">
        <v>0.0369136554811336</v>
      </c>
      <c r="Q19" s="11">
        <v>1.01980390271855</v>
      </c>
      <c r="R19" s="11">
        <v>1.53622914957372</v>
      </c>
    </row>
    <row r="20">
      <c r="A20" s="2"/>
      <c r="B20" s="9" t="s">
        <v>17</v>
      </c>
      <c r="C20" s="11">
        <v>0.861</v>
      </c>
      <c r="D20" s="11">
        <v>0.80126977563511</v>
      </c>
      <c r="E20" s="11">
        <v>0.715705328221613</v>
      </c>
      <c r="F20" s="11">
        <v>0.702259495875541</v>
      </c>
      <c r="G20" s="11">
        <v>0.673897082141638</v>
      </c>
      <c r="H20" s="11">
        <v>0.685453993068875</v>
      </c>
      <c r="I20" s="12">
        <v>6.1</v>
      </c>
      <c r="J20" s="12">
        <v>7.8</v>
      </c>
      <c r="K20" s="11">
        <v>0.0305614135798722</v>
      </c>
      <c r="L20" s="11">
        <v>0.037036417332784</v>
      </c>
      <c r="M20" s="11">
        <v>0.0294081064220061</v>
      </c>
      <c r="N20" s="11">
        <v>0.0444628090568174</v>
      </c>
      <c r="O20" s="11">
        <v>0.0236876612514587</v>
      </c>
      <c r="P20" s="11">
        <v>0.0312481373318327</v>
      </c>
      <c r="Q20" s="11">
        <v>2.1540659228538</v>
      </c>
      <c r="R20" s="11">
        <v>1.0295630140987</v>
      </c>
    </row>
    <row r="21">
      <c r="A21" s="2"/>
      <c r="B21" s="9" t="s">
        <v>18</v>
      </c>
      <c r="C21" s="11">
        <v>0.882</v>
      </c>
      <c r="D21" s="11">
        <v>0.920147237932543</v>
      </c>
      <c r="E21" s="11">
        <v>0.890187601093496</v>
      </c>
      <c r="F21" s="11">
        <v>0.864974711769911</v>
      </c>
      <c r="G21" s="11">
        <v>0.86285414509404</v>
      </c>
      <c r="H21" s="11">
        <v>0.86354164842928</v>
      </c>
      <c r="I21" s="12">
        <v>5.7</v>
      </c>
      <c r="J21" s="12">
        <v>6.1</v>
      </c>
      <c r="K21" s="11">
        <v>0.0229346898823594</v>
      </c>
      <c r="L21" s="11">
        <v>0.0278162004006087</v>
      </c>
      <c r="M21" s="11">
        <v>0.0431658350085449</v>
      </c>
      <c r="N21" s="11">
        <v>0.0263454368988459</v>
      </c>
      <c r="O21" s="11">
        <v>0.0297161702192511</v>
      </c>
      <c r="P21" s="11">
        <v>0.0277435227796467</v>
      </c>
      <c r="Q21" s="11">
        <v>0.92736184954957</v>
      </c>
      <c r="R21" s="11">
        <v>1.8275666882497</v>
      </c>
    </row>
    <row r="22">
      <c r="A22" s="2"/>
      <c r="B22" s="13" t="s">
        <v>19</v>
      </c>
      <c r="C22" s="11">
        <f t="shared" ref="C22:R22" si="2">MEDIAN(C15:C21)</f>
        <v>0.861</v>
      </c>
      <c r="D22" s="11">
        <f t="shared" si="2"/>
        <v>0.8949593597</v>
      </c>
      <c r="E22" s="11">
        <f t="shared" si="2"/>
        <v>0.8248420384</v>
      </c>
      <c r="F22" s="11">
        <f t="shared" si="2"/>
        <v>0.7859543539</v>
      </c>
      <c r="G22" s="11">
        <f t="shared" si="2"/>
        <v>0.6927843318</v>
      </c>
      <c r="H22" s="11">
        <f t="shared" si="2"/>
        <v>0.7218625871</v>
      </c>
      <c r="I22" s="12">
        <f t="shared" si="2"/>
        <v>4.3</v>
      </c>
      <c r="J22" s="12">
        <f t="shared" si="2"/>
        <v>7.8</v>
      </c>
      <c r="K22" s="11">
        <f t="shared" si="2"/>
        <v>0.02293468988</v>
      </c>
      <c r="L22" s="11">
        <f t="shared" si="2"/>
        <v>0.0278162004</v>
      </c>
      <c r="M22" s="11">
        <f t="shared" si="2"/>
        <v>0.02940810642</v>
      </c>
      <c r="N22" s="11">
        <f t="shared" si="2"/>
        <v>0.0263454369</v>
      </c>
      <c r="O22" s="11">
        <f t="shared" si="2"/>
        <v>0.02932618605</v>
      </c>
      <c r="P22" s="11">
        <f t="shared" si="2"/>
        <v>0.03124813733</v>
      </c>
      <c r="Q22" s="11">
        <f t="shared" si="2"/>
        <v>1.166190379</v>
      </c>
      <c r="R22" s="11">
        <f t="shared" si="2"/>
        <v>1.53622915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3" t="s">
        <v>21</v>
      </c>
      <c r="C24" s="2"/>
      <c r="D24" s="2"/>
      <c r="E24" s="2"/>
      <c r="F24" s="2"/>
      <c r="G24" s="2"/>
      <c r="H24" s="2"/>
      <c r="I24" s="2"/>
      <c r="J24" s="2"/>
      <c r="K24" s="4" t="s">
        <v>2</v>
      </c>
    </row>
    <row r="25">
      <c r="A25" s="2"/>
      <c r="B25" s="14" t="s">
        <v>3</v>
      </c>
      <c r="C25" s="6" t="s">
        <v>4</v>
      </c>
      <c r="D25" s="6" t="s">
        <v>5</v>
      </c>
      <c r="E25" s="6" t="s">
        <v>6</v>
      </c>
      <c r="F25" s="7" t="s">
        <v>7</v>
      </c>
      <c r="G25" s="7" t="s">
        <v>8</v>
      </c>
      <c r="H25" s="7" t="s">
        <v>9</v>
      </c>
      <c r="I25" s="8" t="s">
        <v>10</v>
      </c>
      <c r="J25" s="8" t="s">
        <v>11</v>
      </c>
      <c r="K25" s="6" t="s">
        <v>4</v>
      </c>
      <c r="L25" s="6" t="s">
        <v>5</v>
      </c>
      <c r="M25" s="6" t="s">
        <v>6</v>
      </c>
      <c r="N25" s="7" t="s">
        <v>7</v>
      </c>
      <c r="O25" s="7" t="s">
        <v>8</v>
      </c>
      <c r="P25" s="7" t="s">
        <v>9</v>
      </c>
      <c r="Q25" s="8" t="s">
        <v>10</v>
      </c>
      <c r="R25" s="8" t="s">
        <v>11</v>
      </c>
    </row>
    <row r="26">
      <c r="A26" s="2"/>
      <c r="B26" s="9" t="s">
        <v>12</v>
      </c>
      <c r="C26" s="11">
        <v>0.933</v>
      </c>
      <c r="D26" s="11">
        <v>0.960378457431043</v>
      </c>
      <c r="E26" s="11">
        <v>0.953079409862996</v>
      </c>
      <c r="F26" s="11">
        <v>0.918039042755288</v>
      </c>
      <c r="G26" s="11">
        <v>0.915167568919371</v>
      </c>
      <c r="H26" s="11">
        <v>0.916190548937902</v>
      </c>
      <c r="I26" s="12">
        <v>3.4</v>
      </c>
      <c r="J26" s="12">
        <v>3.3</v>
      </c>
      <c r="K26" s="11">
        <v>0.0265706605111728</v>
      </c>
      <c r="L26" s="11">
        <v>0.0172871428810181</v>
      </c>
      <c r="M26" s="11">
        <v>0.0164068123763975</v>
      </c>
      <c r="N26" s="11">
        <v>0.0277603291543915</v>
      </c>
      <c r="O26" s="11">
        <v>0.0284958869202811</v>
      </c>
      <c r="P26" s="11">
        <v>0.0269092864699769</v>
      </c>
      <c r="Q26" s="11">
        <v>1.31909059582729</v>
      </c>
      <c r="R26" s="11">
        <v>1.69115345252877</v>
      </c>
    </row>
    <row r="27">
      <c r="A27" s="2"/>
      <c r="B27" s="9" t="s">
        <v>13</v>
      </c>
      <c r="C27" s="11">
        <v>0.743658477669713</v>
      </c>
      <c r="D27" s="11">
        <v>0.807061147950475</v>
      </c>
      <c r="E27" s="11">
        <v>0.764684698212956</v>
      </c>
      <c r="F27" s="11">
        <v>0.709193379581859</v>
      </c>
      <c r="G27" s="11">
        <v>0.686719601523281</v>
      </c>
      <c r="H27" s="11">
        <v>0.690791869740736</v>
      </c>
      <c r="I27" s="12">
        <v>10.2693725801709</v>
      </c>
      <c r="J27" s="12">
        <v>15.3647796528576</v>
      </c>
      <c r="K27" s="11">
        <v>0.00402011615397188</v>
      </c>
      <c r="L27" s="11">
        <v>0.00999570395640687</v>
      </c>
      <c r="M27" s="11">
        <v>0.0199372888657022</v>
      </c>
      <c r="N27" s="11">
        <v>0.0252875958512724</v>
      </c>
      <c r="O27" s="11">
        <v>0.0150168280835016</v>
      </c>
      <c r="P27" s="11">
        <v>0.0115909079646394</v>
      </c>
      <c r="Q27" s="11">
        <v>3.19235760594439</v>
      </c>
      <c r="R27" s="11">
        <v>3.08089213544536</v>
      </c>
    </row>
    <row r="28">
      <c r="A28" s="2"/>
      <c r="B28" s="9" t="s">
        <v>14</v>
      </c>
      <c r="C28" s="11">
        <v>0.877</v>
      </c>
      <c r="D28" s="11">
        <v>0.944704797365997</v>
      </c>
      <c r="E28" s="11">
        <v>0.937538620443924</v>
      </c>
      <c r="F28" s="11">
        <v>0.873043682178256</v>
      </c>
      <c r="G28" s="11">
        <v>0.877778724867885</v>
      </c>
      <c r="H28" s="11">
        <v>0.87334292777428</v>
      </c>
      <c r="I28" s="12">
        <v>7.1</v>
      </c>
      <c r="J28" s="12">
        <v>5.2</v>
      </c>
      <c r="K28" s="11">
        <v>0.0208806130178211</v>
      </c>
      <c r="L28" s="11">
        <v>0.00830655087675257</v>
      </c>
      <c r="M28" s="11">
        <v>0.0129869826813398</v>
      </c>
      <c r="N28" s="11">
        <v>0.0241839962465406</v>
      </c>
      <c r="O28" s="11">
        <v>0.0240665490648148</v>
      </c>
      <c r="P28" s="11">
        <v>0.0235043284123731</v>
      </c>
      <c r="Q28" s="11">
        <v>1.93390796058137</v>
      </c>
      <c r="R28" s="11">
        <v>2.7129319932501</v>
      </c>
    </row>
    <row r="29">
      <c r="A29" s="2"/>
      <c r="B29" s="9" t="s">
        <v>15</v>
      </c>
      <c r="C29" s="11">
        <v>0.93</v>
      </c>
      <c r="D29" s="11">
        <v>0.952620792487507</v>
      </c>
      <c r="E29" s="11">
        <v>0.929975398483454</v>
      </c>
      <c r="F29" s="11">
        <v>0.90836466768316</v>
      </c>
      <c r="G29" s="11">
        <v>0.920411188707217</v>
      </c>
      <c r="H29" s="11">
        <v>0.913585266057778</v>
      </c>
      <c r="I29" s="12">
        <v>2.8</v>
      </c>
      <c r="J29" s="12">
        <v>4.2</v>
      </c>
      <c r="K29" s="11">
        <v>0.0199999999999999</v>
      </c>
      <c r="L29" s="11">
        <v>0.0289509116112335</v>
      </c>
      <c r="M29" s="11">
        <v>0.0440885182702816</v>
      </c>
      <c r="N29" s="11">
        <v>0.0205981251781025</v>
      </c>
      <c r="O29" s="11">
        <v>0.0277629549393028</v>
      </c>
      <c r="P29" s="11">
        <v>0.0230389357584805</v>
      </c>
      <c r="Q29" s="11">
        <v>1.4696938456699</v>
      </c>
      <c r="R29" s="11">
        <v>1.16619037896906</v>
      </c>
    </row>
    <row r="30">
      <c r="A30" s="2"/>
      <c r="B30" s="9" t="s">
        <v>16</v>
      </c>
      <c r="C30" s="11">
        <v>0.913</v>
      </c>
      <c r="D30" s="11">
        <v>0.959605760759614</v>
      </c>
      <c r="E30" s="11">
        <v>0.900250973656296</v>
      </c>
      <c r="F30" s="11">
        <v>0.848036725518714</v>
      </c>
      <c r="G30" s="11">
        <v>0.889066078866692</v>
      </c>
      <c r="H30" s="11">
        <v>0.864833706157542</v>
      </c>
      <c r="I30" s="12">
        <v>5.9</v>
      </c>
      <c r="J30" s="12">
        <v>2.8</v>
      </c>
      <c r="K30" s="11">
        <v>0.0136381816969858</v>
      </c>
      <c r="L30" s="11">
        <v>0.0113434737932087</v>
      </c>
      <c r="M30" s="11">
        <v>0.022829362200569</v>
      </c>
      <c r="N30" s="11">
        <v>0.0189974523254136</v>
      </c>
      <c r="O30" s="11">
        <v>0.0430221060227684</v>
      </c>
      <c r="P30" s="11">
        <v>0.026775204059989</v>
      </c>
      <c r="Q30" s="11">
        <v>0.860232526704263</v>
      </c>
      <c r="R30" s="11">
        <v>1.69115345252877</v>
      </c>
    </row>
    <row r="31">
      <c r="A31" s="15"/>
      <c r="B31" s="9" t="s">
        <v>17</v>
      </c>
      <c r="C31" s="11">
        <v>0.855</v>
      </c>
      <c r="D31" s="11">
        <v>0.841998753285777</v>
      </c>
      <c r="E31" s="11">
        <v>0.71015170190941</v>
      </c>
      <c r="F31" s="11">
        <v>0.692510521780509</v>
      </c>
      <c r="G31" s="11">
        <v>0.643634334706615</v>
      </c>
      <c r="H31" s="11">
        <v>0.650733235668279</v>
      </c>
      <c r="I31" s="12">
        <v>5.7</v>
      </c>
      <c r="J31" s="12">
        <v>8.8</v>
      </c>
      <c r="K31" s="11">
        <v>0.0104880884817015</v>
      </c>
      <c r="L31" s="11">
        <v>0.0347841352746396</v>
      </c>
      <c r="M31" s="11">
        <v>0.0298349426062312</v>
      </c>
      <c r="N31" s="11">
        <v>0.0445410020548363</v>
      </c>
      <c r="O31" s="11">
        <v>0.0374474045500547</v>
      </c>
      <c r="P31" s="11">
        <v>0.0172511243039383</v>
      </c>
      <c r="Q31" s="11">
        <v>2.7676705006196</v>
      </c>
      <c r="R31" s="11">
        <v>2.227105745132</v>
      </c>
    </row>
    <row r="32">
      <c r="A32" s="15"/>
      <c r="B32" s="9" t="s">
        <v>18</v>
      </c>
      <c r="C32" s="11">
        <v>0.912999999999999</v>
      </c>
      <c r="D32" s="11">
        <v>0.941650584729677</v>
      </c>
      <c r="E32" s="11">
        <v>0.922401575011793</v>
      </c>
      <c r="F32" s="11">
        <v>0.897352685667445</v>
      </c>
      <c r="G32" s="11">
        <v>0.902961782612481</v>
      </c>
      <c r="H32" s="11">
        <v>0.899389708472858</v>
      </c>
      <c r="I32" s="12">
        <v>4.9</v>
      </c>
      <c r="J32" s="12">
        <v>3.8</v>
      </c>
      <c r="K32" s="11">
        <v>0.0233666428910958</v>
      </c>
      <c r="L32" s="11">
        <v>0.0269973080020337</v>
      </c>
      <c r="M32" s="11">
        <v>0.0367240068815128</v>
      </c>
      <c r="N32" s="11">
        <v>0.0325399919869662</v>
      </c>
      <c r="O32" s="11">
        <v>0.0309272779394488</v>
      </c>
      <c r="P32" s="11">
        <v>0.0311682940823609</v>
      </c>
      <c r="Q32" s="11">
        <v>1.65529453572468</v>
      </c>
      <c r="R32" s="11">
        <v>1.56843871413581</v>
      </c>
    </row>
    <row r="33">
      <c r="A33" s="15"/>
      <c r="B33" s="13" t="s">
        <v>19</v>
      </c>
      <c r="C33" s="11">
        <f t="shared" ref="C33:R33" si="3">MEDIAN(C26:C32)</f>
        <v>0.913</v>
      </c>
      <c r="D33" s="11">
        <f t="shared" si="3"/>
        <v>0.9447047974</v>
      </c>
      <c r="E33" s="11">
        <f t="shared" si="3"/>
        <v>0.922401575</v>
      </c>
      <c r="F33" s="11">
        <f t="shared" si="3"/>
        <v>0.8730436822</v>
      </c>
      <c r="G33" s="11">
        <f t="shared" si="3"/>
        <v>0.8890660789</v>
      </c>
      <c r="H33" s="11">
        <f t="shared" si="3"/>
        <v>0.8733429278</v>
      </c>
      <c r="I33" s="12">
        <f t="shared" si="3"/>
        <v>5.7</v>
      </c>
      <c r="J33" s="12">
        <f t="shared" si="3"/>
        <v>4.2</v>
      </c>
      <c r="K33" s="11">
        <f t="shared" si="3"/>
        <v>0.02</v>
      </c>
      <c r="L33" s="11">
        <f t="shared" si="3"/>
        <v>0.01728714288</v>
      </c>
      <c r="M33" s="11">
        <f t="shared" si="3"/>
        <v>0.0228293622</v>
      </c>
      <c r="N33" s="11">
        <f t="shared" si="3"/>
        <v>0.02528759585</v>
      </c>
      <c r="O33" s="11">
        <f t="shared" si="3"/>
        <v>0.02849588692</v>
      </c>
      <c r="P33" s="11">
        <f t="shared" si="3"/>
        <v>0.02350432841</v>
      </c>
      <c r="Q33" s="11">
        <f t="shared" si="3"/>
        <v>1.655294536</v>
      </c>
      <c r="R33" s="11">
        <f t="shared" si="3"/>
        <v>1.691153453</v>
      </c>
    </row>
    <row r="34">
      <c r="A34" s="15"/>
      <c r="B34" s="2"/>
      <c r="C34" s="2"/>
      <c r="D34" s="2"/>
      <c r="E34" s="2"/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1" t="s">
        <v>22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5"/>
      <c r="B36" s="3" t="s">
        <v>1</v>
      </c>
      <c r="C36" s="2"/>
      <c r="D36" s="2"/>
      <c r="E36" s="2"/>
      <c r="F36" s="2"/>
      <c r="G36" s="2"/>
      <c r="H36" s="2"/>
      <c r="I36" s="2"/>
      <c r="J36" s="2"/>
      <c r="K36" s="4" t="s">
        <v>2</v>
      </c>
    </row>
    <row r="37">
      <c r="A37" s="15"/>
      <c r="B37" s="5" t="s">
        <v>3</v>
      </c>
      <c r="C37" s="14" t="s">
        <v>4</v>
      </c>
      <c r="D37" s="14" t="s">
        <v>23</v>
      </c>
      <c r="E37" s="14" t="s">
        <v>24</v>
      </c>
      <c r="F37" s="14" t="s">
        <v>25</v>
      </c>
      <c r="G37" s="14" t="s">
        <v>26</v>
      </c>
      <c r="H37" s="14" t="s">
        <v>27</v>
      </c>
      <c r="I37" s="14" t="s">
        <v>11</v>
      </c>
      <c r="J37" s="14" t="s">
        <v>10</v>
      </c>
      <c r="K37" s="6" t="s">
        <v>4</v>
      </c>
      <c r="L37" s="6" t="s">
        <v>5</v>
      </c>
      <c r="M37" s="6" t="s">
        <v>6</v>
      </c>
      <c r="N37" s="7" t="s">
        <v>7</v>
      </c>
      <c r="O37" s="7" t="s">
        <v>8</v>
      </c>
      <c r="P37" s="7" t="s">
        <v>9</v>
      </c>
      <c r="Q37" s="8" t="s">
        <v>10</v>
      </c>
      <c r="R37" s="8" t="s">
        <v>11</v>
      </c>
    </row>
    <row r="38">
      <c r="A38" s="15"/>
      <c r="B38" s="9" t="s">
        <v>12</v>
      </c>
      <c r="C38" s="11">
        <v>0.782081632653061</v>
      </c>
      <c r="D38" s="11">
        <v>0.784635912623133</v>
      </c>
      <c r="E38" s="11">
        <v>0.749867366942001</v>
      </c>
      <c r="F38" s="11">
        <v>0.757723078746857</v>
      </c>
      <c r="G38" s="11">
        <v>0.626023983886872</v>
      </c>
      <c r="H38" s="11">
        <v>0.637944272547303</v>
      </c>
      <c r="I38" s="11">
        <v>18.6836734693877</v>
      </c>
      <c r="J38" s="11">
        <v>3.10816326530612</v>
      </c>
      <c r="K38" s="11">
        <v>0.0149688834549112</v>
      </c>
      <c r="L38" s="11">
        <v>0.0666612424347017</v>
      </c>
      <c r="M38" s="11">
        <v>0.0577431457150147</v>
      </c>
      <c r="N38" s="11">
        <v>0.0447383590758101</v>
      </c>
      <c r="O38" s="11">
        <v>0.0232481403501888</v>
      </c>
      <c r="P38" s="11">
        <v>0.0267378540554731</v>
      </c>
      <c r="Q38" s="11">
        <v>2.94719598628781</v>
      </c>
      <c r="R38" s="11">
        <v>1.82271977328616</v>
      </c>
    </row>
    <row r="39">
      <c r="A39" s="15"/>
      <c r="B39" s="9" t="s">
        <v>28</v>
      </c>
      <c r="C39" s="11">
        <v>0.755737517942387</v>
      </c>
      <c r="D39" s="11">
        <v>0.874034693600326</v>
      </c>
      <c r="E39" s="11">
        <v>0.835185923621265</v>
      </c>
      <c r="F39" s="11">
        <v>0.79430862223451</v>
      </c>
      <c r="G39" s="11">
        <v>0.6634155674871</v>
      </c>
      <c r="H39" s="11">
        <v>0.648619863043763</v>
      </c>
      <c r="I39" s="11">
        <v>3.60523613456164</v>
      </c>
      <c r="J39" s="11">
        <v>20.8210120711996</v>
      </c>
      <c r="K39" s="11">
        <v>0.0772762382424363</v>
      </c>
      <c r="L39" s="11">
        <v>0.0354510110842168</v>
      </c>
      <c r="M39" s="11">
        <v>0.0420450334937866</v>
      </c>
      <c r="N39" s="11">
        <v>0.0713470588423417</v>
      </c>
      <c r="O39" s="11">
        <v>0.123849836256749</v>
      </c>
      <c r="P39" s="11">
        <v>0.13727469132083</v>
      </c>
      <c r="Q39" s="11">
        <v>3.21483092733461</v>
      </c>
      <c r="R39" s="11">
        <v>10.1649091407935</v>
      </c>
    </row>
    <row r="40">
      <c r="A40" s="15"/>
      <c r="B40" s="9" t="s">
        <v>29</v>
      </c>
      <c r="C40" s="11">
        <v>0.814646659212829</v>
      </c>
      <c r="D40" s="11">
        <v>0.896307800287869</v>
      </c>
      <c r="E40" s="11">
        <v>0.888333884311028</v>
      </c>
      <c r="F40" s="11">
        <v>0.845884954523097</v>
      </c>
      <c r="G40" s="11">
        <v>0.775321687837231</v>
      </c>
      <c r="H40" s="11">
        <v>0.784770116269646</v>
      </c>
      <c r="I40" s="11">
        <v>2.28885925643156</v>
      </c>
      <c r="J40" s="11">
        <v>16.2464748222855</v>
      </c>
      <c r="K40" s="11">
        <v>0.0689710072066273</v>
      </c>
      <c r="L40" s="11">
        <v>0.0118886906258846</v>
      </c>
      <c r="M40" s="11">
        <v>0.0164634558209649</v>
      </c>
      <c r="N40" s="11">
        <v>0.0616741571404943</v>
      </c>
      <c r="O40" s="11">
        <v>0.0749679145096769</v>
      </c>
      <c r="P40" s="11">
        <v>0.0857080475564083</v>
      </c>
      <c r="Q40" s="11">
        <v>1.28376344567034</v>
      </c>
      <c r="R40" s="11">
        <v>6.41484743043796</v>
      </c>
    </row>
    <row r="41">
      <c r="A41" s="15"/>
      <c r="B41" s="9" t="s">
        <v>30</v>
      </c>
      <c r="C41" s="11">
        <v>0.818511948977915</v>
      </c>
      <c r="D41" s="11">
        <v>0.896645284859678</v>
      </c>
      <c r="E41" s="11">
        <v>0.885953060337556</v>
      </c>
      <c r="F41" s="11">
        <v>0.839141296498568</v>
      </c>
      <c r="G41" s="11">
        <v>0.776760657502634</v>
      </c>
      <c r="H41" s="11">
        <v>0.785759384297801</v>
      </c>
      <c r="I41" s="11">
        <v>3.19295560703575</v>
      </c>
      <c r="J41" s="11">
        <v>14.9558494951727</v>
      </c>
      <c r="K41" s="11">
        <v>0.0651749845847778</v>
      </c>
      <c r="L41" s="11">
        <v>0.0144715441831729</v>
      </c>
      <c r="M41" s="11">
        <v>0.0213774636808861</v>
      </c>
      <c r="N41" s="11">
        <v>0.0491380315274659</v>
      </c>
      <c r="O41" s="11">
        <v>0.0796917499412054</v>
      </c>
      <c r="P41" s="11">
        <v>0.0833930340418886</v>
      </c>
      <c r="Q41" s="11">
        <v>0.928298731417621</v>
      </c>
      <c r="R41" s="11">
        <v>6.88146693887512</v>
      </c>
    </row>
    <row r="42">
      <c r="A42" s="15"/>
      <c r="B42" s="9" t="s">
        <v>31</v>
      </c>
      <c r="C42" s="11">
        <v>0.833040978428925</v>
      </c>
      <c r="D42" s="11">
        <v>0.922116021991499</v>
      </c>
      <c r="E42" s="11">
        <v>0.879436539921016</v>
      </c>
      <c r="F42" s="11">
        <v>0.859714613300267</v>
      </c>
      <c r="G42" s="11">
        <v>0.737117543444954</v>
      </c>
      <c r="H42" s="11">
        <v>0.748060273518431</v>
      </c>
      <c r="I42" s="11">
        <v>2.38310627281215</v>
      </c>
      <c r="J42" s="11">
        <v>14.3127958842953</v>
      </c>
      <c r="K42" s="11">
        <v>0.0559339459378934</v>
      </c>
      <c r="L42" s="11">
        <v>0.0407760705849924</v>
      </c>
      <c r="M42" s="11">
        <v>0.0517036410578926</v>
      </c>
      <c r="N42" s="11">
        <v>0.0243581476477136</v>
      </c>
      <c r="O42" s="11">
        <v>0.104223433499293</v>
      </c>
      <c r="P42" s="11">
        <v>0.118969563318153</v>
      </c>
      <c r="Q42" s="11">
        <v>1.73778616414763</v>
      </c>
      <c r="R42" s="11">
        <v>6.8656349554281</v>
      </c>
    </row>
    <row r="43">
      <c r="A43" s="15"/>
      <c r="B43" s="9" t="s">
        <v>14</v>
      </c>
      <c r="C43" s="11">
        <v>0.867530612244898</v>
      </c>
      <c r="D43" s="11">
        <v>0.902757533581524</v>
      </c>
      <c r="E43" s="11">
        <v>0.88679142571105</v>
      </c>
      <c r="F43" s="11">
        <v>0.868762901864823</v>
      </c>
      <c r="G43" s="11">
        <v>0.866094210118296</v>
      </c>
      <c r="H43" s="11">
        <v>0.866642059123736</v>
      </c>
      <c r="I43" s="11">
        <v>7.82653061224489</v>
      </c>
      <c r="J43" s="11">
        <v>5.4204081632653</v>
      </c>
      <c r="K43" s="11">
        <v>0.0155216660119038</v>
      </c>
      <c r="L43" s="11">
        <v>0.0172573631208246</v>
      </c>
      <c r="M43" s="11">
        <v>0.0223560438664965</v>
      </c>
      <c r="N43" s="11">
        <v>0.0159197726284053</v>
      </c>
      <c r="O43" s="11">
        <v>0.0154327287577453</v>
      </c>
      <c r="P43" s="11">
        <v>0.0155655993156675</v>
      </c>
      <c r="Q43" s="11">
        <v>0.945428951168527</v>
      </c>
      <c r="R43" s="11">
        <v>1.35105123585273</v>
      </c>
    </row>
    <row r="44">
      <c r="A44" s="15"/>
      <c r="B44" s="9" t="s">
        <v>15</v>
      </c>
      <c r="C44" s="11">
        <v>0.247496630672674</v>
      </c>
      <c r="D44" s="11">
        <v>0.564394655905032</v>
      </c>
      <c r="E44" s="11">
        <v>0.570211808932109</v>
      </c>
      <c r="F44" s="11">
        <v>0.546738952977011</v>
      </c>
      <c r="G44" s="11">
        <v>0.517165612719148</v>
      </c>
      <c r="H44" s="11">
        <v>0.238914551454821</v>
      </c>
      <c r="I44" s="11">
        <v>74.2909519838739</v>
      </c>
      <c r="J44" s="11">
        <v>0.959384948858633</v>
      </c>
      <c r="K44" s="11">
        <v>0.0296771985154976</v>
      </c>
      <c r="L44" s="11">
        <v>0.0859309589313399</v>
      </c>
      <c r="M44" s="11">
        <v>0.0527377980697436</v>
      </c>
      <c r="N44" s="11">
        <v>0.0535746610541465</v>
      </c>
      <c r="O44" s="11">
        <v>0.0395607146143917</v>
      </c>
      <c r="P44" s="11">
        <v>0.0266520512587876</v>
      </c>
      <c r="Q44" s="11">
        <v>2.71161314619518</v>
      </c>
      <c r="R44" s="11">
        <v>1.25068865778802</v>
      </c>
    </row>
    <row r="45">
      <c r="A45" s="15"/>
      <c r="B45" s="9" t="s">
        <v>16</v>
      </c>
      <c r="C45" s="11">
        <v>0.567061272855657</v>
      </c>
      <c r="D45" s="11">
        <v>0.619025066153222</v>
      </c>
      <c r="E45" s="11">
        <v>0.610656469379838</v>
      </c>
      <c r="F45" s="11">
        <v>0.599745029341993</v>
      </c>
      <c r="G45" s="11">
        <v>0.61269793110141</v>
      </c>
      <c r="H45" s="11">
        <v>0.560542659651825</v>
      </c>
      <c r="I45" s="11">
        <v>35.1443817690122</v>
      </c>
      <c r="J45" s="11">
        <v>8.14949094542199</v>
      </c>
      <c r="K45" s="11">
        <v>0.0362764788428633</v>
      </c>
      <c r="L45" s="11">
        <v>0.0486006392050052</v>
      </c>
      <c r="M45" s="11">
        <v>0.0352861050447209</v>
      </c>
      <c r="N45" s="11">
        <v>0.0271663486204676</v>
      </c>
      <c r="O45" s="11">
        <v>0.0317488851680321</v>
      </c>
      <c r="P45" s="11">
        <v>0.0337541187458513</v>
      </c>
      <c r="Q45" s="11">
        <v>3.37230792357459</v>
      </c>
      <c r="R45" s="11">
        <v>1.15859464633015</v>
      </c>
    </row>
    <row r="46">
      <c r="A46" s="15"/>
      <c r="B46" s="9" t="s">
        <v>17</v>
      </c>
      <c r="C46" s="11">
        <v>0.668525786081224</v>
      </c>
      <c r="D46" s="11">
        <v>0.741234686145807</v>
      </c>
      <c r="E46" s="11">
        <v>0.726874414682531</v>
      </c>
      <c r="F46" s="11">
        <v>0.639619342777788</v>
      </c>
      <c r="G46" s="11">
        <v>0.635980480012471</v>
      </c>
      <c r="H46" s="11">
        <v>0.625628380319612</v>
      </c>
      <c r="I46" s="11">
        <v>14.7419252783861</v>
      </c>
      <c r="J46" s="11">
        <v>18.4054961134913</v>
      </c>
      <c r="K46" s="11">
        <v>0.0676948098375434</v>
      </c>
      <c r="L46" s="11">
        <v>0.101022724283412</v>
      </c>
      <c r="M46" s="11">
        <v>0.0903918003079069</v>
      </c>
      <c r="N46" s="11">
        <v>0.077960048755271</v>
      </c>
      <c r="O46" s="11">
        <v>0.0816493197067291</v>
      </c>
      <c r="P46" s="11">
        <v>0.0922596631625881</v>
      </c>
      <c r="Q46" s="11">
        <v>6.15356710691997</v>
      </c>
      <c r="R46" s="11">
        <v>8.07899690361933</v>
      </c>
    </row>
    <row r="47">
      <c r="A47" s="15"/>
      <c r="B47" s="9" t="s">
        <v>18</v>
      </c>
      <c r="C47" s="11">
        <v>0.883964944326855</v>
      </c>
      <c r="D47" s="11">
        <v>0.912768312155767</v>
      </c>
      <c r="E47" s="11">
        <v>0.902853554705886</v>
      </c>
      <c r="F47" s="11">
        <v>0.884147140962131</v>
      </c>
      <c r="G47" s="11">
        <v>0.877246188024972</v>
      </c>
      <c r="H47" s="11">
        <v>0.879963038712198</v>
      </c>
      <c r="I47" s="11">
        <v>4.92181411383326</v>
      </c>
      <c r="J47" s="11">
        <v>6.68169145348121</v>
      </c>
      <c r="K47" s="11">
        <v>0.0490506635687076</v>
      </c>
      <c r="L47" s="11">
        <v>0.0275073628315188</v>
      </c>
      <c r="M47" s="11">
        <v>0.035217788672185</v>
      </c>
      <c r="N47" s="11">
        <v>0.0497726745238495</v>
      </c>
      <c r="O47" s="11">
        <v>0.0483306176511108</v>
      </c>
      <c r="P47" s="11">
        <v>0.0487410615789299</v>
      </c>
      <c r="Q47" s="11">
        <v>2.68014758411992</v>
      </c>
      <c r="R47" s="11">
        <v>2.60260743450648</v>
      </c>
    </row>
    <row r="48">
      <c r="A48" s="2"/>
      <c r="B48" s="13" t="s">
        <v>19</v>
      </c>
      <c r="C48" s="11">
        <f t="shared" ref="C48:R48" si="4">MEDIAN(C38:C47)</f>
        <v>0.7983641459</v>
      </c>
      <c r="D48" s="11">
        <f t="shared" si="4"/>
        <v>0.8851712469</v>
      </c>
      <c r="E48" s="11">
        <f t="shared" si="4"/>
        <v>0.8573112318</v>
      </c>
      <c r="F48" s="11">
        <f t="shared" si="4"/>
        <v>0.8167249594</v>
      </c>
      <c r="G48" s="11">
        <f t="shared" si="4"/>
        <v>0.7002665555</v>
      </c>
      <c r="H48" s="11">
        <f t="shared" si="4"/>
        <v>0.6983400683</v>
      </c>
      <c r="I48" s="11">
        <f t="shared" si="4"/>
        <v>6.374172363</v>
      </c>
      <c r="J48" s="11">
        <f t="shared" si="4"/>
        <v>11.23114341</v>
      </c>
      <c r="K48" s="11">
        <f t="shared" si="4"/>
        <v>0.05249230475</v>
      </c>
      <c r="L48" s="11">
        <f t="shared" si="4"/>
        <v>0.03811354083</v>
      </c>
      <c r="M48" s="11">
        <f t="shared" si="4"/>
        <v>0.03866556927</v>
      </c>
      <c r="N48" s="11">
        <f t="shared" si="4"/>
        <v>0.04945535303</v>
      </c>
      <c r="O48" s="11">
        <f t="shared" si="4"/>
        <v>0.06164926608</v>
      </c>
      <c r="P48" s="11">
        <f t="shared" si="4"/>
        <v>0.06606704781</v>
      </c>
      <c r="Q48" s="11">
        <f t="shared" si="4"/>
        <v>2.695880365</v>
      </c>
      <c r="R48" s="11">
        <f t="shared" si="4"/>
        <v>4.508727432</v>
      </c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3" t="s">
        <v>20</v>
      </c>
      <c r="C50" s="2"/>
      <c r="D50" s="2"/>
      <c r="E50" s="2"/>
      <c r="F50" s="2"/>
      <c r="G50" s="2"/>
      <c r="H50" s="2"/>
      <c r="I50" s="2"/>
      <c r="J50" s="2"/>
      <c r="K50" s="4" t="s">
        <v>2</v>
      </c>
    </row>
    <row r="51">
      <c r="A51" s="2"/>
      <c r="B51" s="14" t="s">
        <v>3</v>
      </c>
      <c r="C51" s="14" t="s">
        <v>4</v>
      </c>
      <c r="D51" s="14" t="s">
        <v>23</v>
      </c>
      <c r="E51" s="14" t="s">
        <v>24</v>
      </c>
      <c r="F51" s="14" t="s">
        <v>25</v>
      </c>
      <c r="G51" s="14" t="s">
        <v>26</v>
      </c>
      <c r="H51" s="14" t="s">
        <v>27</v>
      </c>
      <c r="I51" s="14" t="s">
        <v>11</v>
      </c>
      <c r="J51" s="14" t="s">
        <v>10</v>
      </c>
      <c r="K51" s="6" t="s">
        <v>4</v>
      </c>
      <c r="L51" s="6" t="s">
        <v>5</v>
      </c>
      <c r="M51" s="6" t="s">
        <v>6</v>
      </c>
      <c r="N51" s="7" t="s">
        <v>7</v>
      </c>
      <c r="O51" s="7" t="s">
        <v>8</v>
      </c>
      <c r="P51" s="7" t="s">
        <v>9</v>
      </c>
      <c r="Q51" s="8" t="s">
        <v>10</v>
      </c>
      <c r="R51" s="8" t="s">
        <v>11</v>
      </c>
    </row>
    <row r="52">
      <c r="A52" s="2"/>
      <c r="B52" s="9" t="s">
        <v>12</v>
      </c>
      <c r="C52" s="11">
        <v>0.91669387755102</v>
      </c>
      <c r="D52" s="11">
        <v>0.937281470293344</v>
      </c>
      <c r="E52" s="11">
        <v>0.914944938233103</v>
      </c>
      <c r="F52" s="11">
        <v>0.903761033935329</v>
      </c>
      <c r="G52" s="11">
        <v>0.876146802845262</v>
      </c>
      <c r="H52" s="11">
        <v>0.888067080998743</v>
      </c>
      <c r="I52" s="11">
        <v>5.42653061224489</v>
      </c>
      <c r="J52" s="11">
        <v>2.90408163265306</v>
      </c>
      <c r="K52" s="11">
        <v>0.00902645470998462</v>
      </c>
      <c r="L52" s="11">
        <v>0.0100592921716337</v>
      </c>
      <c r="M52" s="11">
        <v>0.0213097581017197</v>
      </c>
      <c r="N52" s="11">
        <v>0.0158775481549189</v>
      </c>
      <c r="O52" s="11">
        <v>0.0121861575713249</v>
      </c>
      <c r="P52" s="11">
        <v>0.00900307942478046</v>
      </c>
      <c r="Q52" s="11">
        <v>0.949306505025185</v>
      </c>
      <c r="R52" s="11">
        <v>1.01220375163245</v>
      </c>
    </row>
    <row r="53">
      <c r="A53" s="2"/>
      <c r="B53" s="9" t="s">
        <v>28</v>
      </c>
      <c r="C53" s="11">
        <v>0.920233063316334</v>
      </c>
      <c r="D53" s="11">
        <v>0.956750884471337</v>
      </c>
      <c r="E53" s="11">
        <v>0.956311855239783</v>
      </c>
      <c r="F53" s="11">
        <v>0.922616054585959</v>
      </c>
      <c r="G53" s="11">
        <v>0.899510168623623</v>
      </c>
      <c r="H53" s="11">
        <v>0.908488596398859</v>
      </c>
      <c r="I53" s="11">
        <v>2.22663172680222</v>
      </c>
      <c r="J53" s="11">
        <v>5.75006194156436</v>
      </c>
      <c r="K53" s="11">
        <v>0.00568214306999826</v>
      </c>
      <c r="L53" s="11">
        <v>0.0844732196205505</v>
      </c>
      <c r="M53" s="11">
        <v>0.0908288677283827</v>
      </c>
      <c r="N53" s="11">
        <v>0.0041296429614191</v>
      </c>
      <c r="O53" s="11">
        <v>0.00320855614973261</v>
      </c>
      <c r="P53" s="11">
        <v>0.00145465946793434</v>
      </c>
      <c r="Q53" s="11">
        <v>0.634920634920634</v>
      </c>
      <c r="R53" s="11">
        <v>0.830901943956775</v>
      </c>
    </row>
    <row r="54">
      <c r="A54" s="2"/>
      <c r="B54" s="9" t="s">
        <v>29</v>
      </c>
      <c r="C54" s="11">
        <v>0.92978709867404</v>
      </c>
      <c r="D54" s="11">
        <v>0.952044132842338</v>
      </c>
      <c r="E54" s="11">
        <v>0.950360743455352</v>
      </c>
      <c r="F54" s="11">
        <v>0.934404045725291</v>
      </c>
      <c r="G54" s="11">
        <v>0.918931247808544</v>
      </c>
      <c r="H54" s="11">
        <v>0.924927157358379</v>
      </c>
      <c r="I54" s="11">
        <v>1.80305671541429</v>
      </c>
      <c r="J54" s="11">
        <v>5.2182334171817</v>
      </c>
      <c r="K54" s="11">
        <v>0.0212380054978036</v>
      </c>
      <c r="L54" s="11">
        <v>0.0170864721373398</v>
      </c>
      <c r="M54" s="11">
        <v>0.0218274877875774</v>
      </c>
      <c r="N54" s="11">
        <v>0.0184023564435017</v>
      </c>
      <c r="O54" s="11">
        <v>0.0249031449993786</v>
      </c>
      <c r="P54" s="11">
        <v>0.0228357212225526</v>
      </c>
      <c r="Q54" s="11">
        <v>0.650903011323959</v>
      </c>
      <c r="R54" s="11">
        <v>1.97925231123385</v>
      </c>
    </row>
    <row r="55">
      <c r="A55" s="2"/>
      <c r="B55" s="16" t="s">
        <v>30</v>
      </c>
      <c r="C55" s="11">
        <v>0.925993174604716</v>
      </c>
      <c r="D55" s="11">
        <v>0.947898375073053</v>
      </c>
      <c r="E55" s="11">
        <v>0.945809045788725</v>
      </c>
      <c r="F55" s="11">
        <v>0.924652350982959</v>
      </c>
      <c r="G55" s="11">
        <v>0.916283490858594</v>
      </c>
      <c r="H55" s="11">
        <v>0.919991571040541</v>
      </c>
      <c r="I55" s="11">
        <v>2.842061996897</v>
      </c>
      <c r="J55" s="11">
        <v>4.55862054263136</v>
      </c>
      <c r="K55" s="11">
        <v>0.00968144876178426</v>
      </c>
      <c r="L55" s="11">
        <v>0.033035438021679</v>
      </c>
      <c r="M55" s="11">
        <v>0.0360068890843979</v>
      </c>
      <c r="N55" s="11">
        <v>0.0163795656355725</v>
      </c>
      <c r="O55" s="11">
        <v>0.0269631143855035</v>
      </c>
      <c r="P55" s="11">
        <v>0.0136682340545984</v>
      </c>
      <c r="Q55" s="11">
        <v>1.64783718985587</v>
      </c>
      <c r="R55" s="11">
        <v>2.47464591441451</v>
      </c>
    </row>
    <row r="56">
      <c r="A56" s="2"/>
      <c r="B56" s="16" t="s">
        <v>31</v>
      </c>
      <c r="C56" s="11">
        <v>0.929895906401229</v>
      </c>
      <c r="D56" s="11">
        <v>0.962359303622497</v>
      </c>
      <c r="E56" s="11">
        <v>0.953200357581007</v>
      </c>
      <c r="F56" s="11">
        <v>0.919293585784058</v>
      </c>
      <c r="G56" s="11">
        <v>0.910151894241183</v>
      </c>
      <c r="H56" s="11">
        <v>0.913860563746154</v>
      </c>
      <c r="I56" s="11">
        <v>2.97847019454742</v>
      </c>
      <c r="J56" s="11">
        <v>4.03193916532963</v>
      </c>
      <c r="K56" s="11">
        <v>0.0137567422699617</v>
      </c>
      <c r="L56" s="11">
        <v>0.022739518094944</v>
      </c>
      <c r="M56" s="11">
        <v>0.0311109151280334</v>
      </c>
      <c r="N56" s="11">
        <v>0.0181258787097802</v>
      </c>
      <c r="O56" s="11">
        <v>0.0210202964293095</v>
      </c>
      <c r="P56" s="11">
        <v>0.0174096126415592</v>
      </c>
      <c r="Q56" s="11">
        <v>1.07044545319901</v>
      </c>
      <c r="R56" s="11">
        <v>1.37472816686961</v>
      </c>
    </row>
    <row r="57">
      <c r="A57" s="2"/>
      <c r="B57" s="16" t="s">
        <v>14</v>
      </c>
      <c r="C57" s="11">
        <v>0.910673469387755</v>
      </c>
      <c r="D57" s="11">
        <v>0.949935152299785</v>
      </c>
      <c r="E57" s="11">
        <v>0.945323412697822</v>
      </c>
      <c r="F57" s="11">
        <v>0.911775297514588</v>
      </c>
      <c r="G57" s="11">
        <v>0.909576699665782</v>
      </c>
      <c r="H57" s="11">
        <v>0.910187840660116</v>
      </c>
      <c r="I57" s="11">
        <v>5.5204081632653</v>
      </c>
      <c r="J57" s="11">
        <v>3.41224489795918</v>
      </c>
      <c r="K57" s="11">
        <v>0.025070878284227</v>
      </c>
      <c r="L57" s="11">
        <v>0.0209483601900626</v>
      </c>
      <c r="M57" s="11">
        <v>0.0267773537406842</v>
      </c>
      <c r="N57" s="11">
        <v>0.0261257175409125</v>
      </c>
      <c r="O57" s="11">
        <v>0.02442262474943</v>
      </c>
      <c r="P57" s="11">
        <v>0.025017435160485</v>
      </c>
      <c r="Q57" s="11">
        <v>0.88388789404887</v>
      </c>
      <c r="R57" s="11">
        <v>1.65251439683192</v>
      </c>
    </row>
    <row r="58">
      <c r="A58" s="2"/>
      <c r="B58" s="16" t="s">
        <v>15</v>
      </c>
      <c r="C58" s="11">
        <v>0.842772714638413</v>
      </c>
      <c r="D58" s="11">
        <v>0.769089591123894</v>
      </c>
      <c r="E58" s="11">
        <v>0.720332789769401</v>
      </c>
      <c r="F58" s="11">
        <v>0.769833486547772</v>
      </c>
      <c r="G58" s="11">
        <v>0.574536296615706</v>
      </c>
      <c r="H58" s="11">
        <v>0.577471631303982</v>
      </c>
      <c r="I58" s="11">
        <v>0.702100077780658</v>
      </c>
      <c r="J58" s="11">
        <v>15.020628458378</v>
      </c>
      <c r="K58" s="11">
        <v>0.0262279550259977</v>
      </c>
      <c r="L58" s="11">
        <v>0.0557210729592273</v>
      </c>
      <c r="M58" s="11">
        <v>0.0627744037946455</v>
      </c>
      <c r="N58" s="11">
        <v>0.180922281990123</v>
      </c>
      <c r="O58" s="11">
        <v>0.0484735242170059</v>
      </c>
      <c r="P58" s="11">
        <v>0.0760150784967239</v>
      </c>
      <c r="Q58" s="11">
        <v>1.06869907789208</v>
      </c>
      <c r="R58" s="11">
        <v>3.30020310375459</v>
      </c>
    </row>
    <row r="59">
      <c r="A59" s="2"/>
      <c r="B59" s="9" t="s">
        <v>16</v>
      </c>
      <c r="C59" s="11">
        <v>0.823188134284584</v>
      </c>
      <c r="D59" s="11">
        <v>0.874846916604086</v>
      </c>
      <c r="E59" s="11">
        <v>0.864984255446475</v>
      </c>
      <c r="F59" s="11">
        <v>0.811506273799708</v>
      </c>
      <c r="G59" s="11">
        <v>0.759271647070396</v>
      </c>
      <c r="H59" s="11">
        <v>0.774874040402319</v>
      </c>
      <c r="I59" s="11">
        <v>4.95617658087315</v>
      </c>
      <c r="J59" s="11">
        <v>12.7250099906683</v>
      </c>
      <c r="K59" s="11">
        <v>0.0349938583594436</v>
      </c>
      <c r="L59" s="11">
        <v>0.0434909287952935</v>
      </c>
      <c r="M59" s="11">
        <v>0.0497096962963013</v>
      </c>
      <c r="N59" s="11">
        <v>0.0480118719546152</v>
      </c>
      <c r="O59" s="11">
        <v>0.0510907499255424</v>
      </c>
      <c r="P59" s="11">
        <v>0.0509669781568246</v>
      </c>
      <c r="Q59" s="11">
        <v>1.98079322597242</v>
      </c>
      <c r="R59" s="11">
        <v>2.97610392778487</v>
      </c>
    </row>
    <row r="60">
      <c r="A60" s="2"/>
      <c r="B60" s="9" t="s">
        <v>17</v>
      </c>
      <c r="C60" s="11">
        <v>0.880744609456161</v>
      </c>
      <c r="D60" s="11">
        <v>0.930365953585069</v>
      </c>
      <c r="E60" s="11">
        <v>0.912570043035849</v>
      </c>
      <c r="F60" s="11">
        <v>0.874730942543764</v>
      </c>
      <c r="G60" s="11">
        <v>0.863683704334128</v>
      </c>
      <c r="H60" s="11">
        <v>0.86806197601747</v>
      </c>
      <c r="I60" s="11">
        <v>5.07220072381987</v>
      </c>
      <c r="J60" s="11">
        <v>6.85333833056395</v>
      </c>
      <c r="K60" s="11">
        <v>0.0280610118694617</v>
      </c>
      <c r="L60" s="11">
        <v>0.0312845658671151</v>
      </c>
      <c r="M60" s="11">
        <v>0.0431808226120534</v>
      </c>
      <c r="N60" s="11">
        <v>0.0321551243145186</v>
      </c>
      <c r="O60" s="11">
        <v>0.0369092650261229</v>
      </c>
      <c r="P60" s="11">
        <v>0.0343942253918179</v>
      </c>
      <c r="Q60" s="11">
        <v>1.628930461995</v>
      </c>
      <c r="R60" s="11">
        <v>2.13357453039825</v>
      </c>
    </row>
    <row r="61">
      <c r="A61" s="2"/>
      <c r="B61" s="9" t="s">
        <v>18</v>
      </c>
      <c r="C61" s="11">
        <v>0.936914451944583</v>
      </c>
      <c r="D61" s="11">
        <v>0.961129452962283</v>
      </c>
      <c r="E61" s="11">
        <v>0.959396827205887</v>
      </c>
      <c r="F61" s="11">
        <v>0.940864845605327</v>
      </c>
      <c r="G61" s="11">
        <v>0.929720128138071</v>
      </c>
      <c r="H61" s="11">
        <v>0.934072709801896</v>
      </c>
      <c r="I61" s="11">
        <v>1.5822622742282</v>
      </c>
      <c r="J61" s="11">
        <v>4.72629253131348</v>
      </c>
      <c r="K61" s="11">
        <v>0.0264884697977597</v>
      </c>
      <c r="L61" s="11">
        <v>0.0144604987287126</v>
      </c>
      <c r="M61" s="11">
        <v>0.0156235201219749</v>
      </c>
      <c r="N61" s="11">
        <v>0.0249637961986793</v>
      </c>
      <c r="O61" s="11">
        <v>0.0292869675189032</v>
      </c>
      <c r="P61" s="11">
        <v>0.0278207994198938</v>
      </c>
      <c r="Q61" s="11">
        <v>0.802679827648901</v>
      </c>
      <c r="R61" s="11">
        <v>1.94621279198196</v>
      </c>
    </row>
    <row r="62">
      <c r="A62" s="2"/>
      <c r="B62" s="13" t="s">
        <v>19</v>
      </c>
      <c r="C62" s="11">
        <f t="shared" ref="C62:R62" si="5">MEDIAN(C52:C61)</f>
        <v>0.9184634704</v>
      </c>
      <c r="D62" s="11">
        <f t="shared" si="5"/>
        <v>0.9489167637</v>
      </c>
      <c r="E62" s="11">
        <f t="shared" si="5"/>
        <v>0.9455662292</v>
      </c>
      <c r="F62" s="11">
        <f t="shared" si="5"/>
        <v>0.9155344416</v>
      </c>
      <c r="G62" s="11">
        <f t="shared" si="5"/>
        <v>0.9045434341</v>
      </c>
      <c r="H62" s="11">
        <f t="shared" si="5"/>
        <v>0.9093382185</v>
      </c>
      <c r="I62" s="11">
        <f t="shared" si="5"/>
        <v>2.910266096</v>
      </c>
      <c r="J62" s="11">
        <f t="shared" si="5"/>
        <v>4.972262974</v>
      </c>
      <c r="K62" s="11">
        <f t="shared" si="5"/>
        <v>0.02315444189</v>
      </c>
      <c r="L62" s="11">
        <f t="shared" si="5"/>
        <v>0.02701204198</v>
      </c>
      <c r="M62" s="11">
        <f t="shared" si="5"/>
        <v>0.03355890211</v>
      </c>
      <c r="N62" s="11">
        <f t="shared" si="5"/>
        <v>0.02168307632</v>
      </c>
      <c r="O62" s="11">
        <f t="shared" si="5"/>
        <v>0.02593312969</v>
      </c>
      <c r="P62" s="11">
        <f t="shared" si="5"/>
        <v>0.02392657819</v>
      </c>
      <c r="Q62" s="11">
        <f t="shared" si="5"/>
        <v>1.009002791</v>
      </c>
      <c r="R62" s="11">
        <f t="shared" si="5"/>
        <v>1.962732552</v>
      </c>
    </row>
    <row r="63">
      <c r="A63" s="2"/>
      <c r="B63" s="2"/>
      <c r="C63" s="15"/>
      <c r="D63" s="15"/>
      <c r="E63" s="15"/>
      <c r="F63" s="1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3" t="s">
        <v>21</v>
      </c>
      <c r="C64" s="2"/>
      <c r="D64" s="2"/>
      <c r="E64" s="2"/>
      <c r="F64" s="2"/>
      <c r="G64" s="2"/>
      <c r="H64" s="2"/>
      <c r="I64" s="2"/>
      <c r="J64" s="2"/>
      <c r="K64" s="4" t="s">
        <v>2</v>
      </c>
    </row>
    <row r="65">
      <c r="A65" s="2"/>
      <c r="B65" s="14" t="s">
        <v>3</v>
      </c>
      <c r="C65" s="14" t="s">
        <v>4</v>
      </c>
      <c r="D65" s="14" t="s">
        <v>23</v>
      </c>
      <c r="E65" s="14" t="s">
        <v>24</v>
      </c>
      <c r="F65" s="14" t="s">
        <v>25</v>
      </c>
      <c r="G65" s="14" t="s">
        <v>26</v>
      </c>
      <c r="H65" s="14" t="s">
        <v>27</v>
      </c>
      <c r="I65" s="14" t="s">
        <v>11</v>
      </c>
      <c r="J65" s="14" t="s">
        <v>10</v>
      </c>
      <c r="K65" s="6" t="s">
        <v>4</v>
      </c>
      <c r="L65" s="6" t="s">
        <v>5</v>
      </c>
      <c r="M65" s="6" t="s">
        <v>6</v>
      </c>
      <c r="N65" s="7" t="s">
        <v>7</v>
      </c>
      <c r="O65" s="7" t="s">
        <v>8</v>
      </c>
      <c r="P65" s="7" t="s">
        <v>9</v>
      </c>
      <c r="Q65" s="8" t="s">
        <v>10</v>
      </c>
      <c r="R65" s="8" t="s">
        <v>11</v>
      </c>
    </row>
    <row r="66">
      <c r="A66" s="2"/>
      <c r="B66" s="9" t="s">
        <v>12</v>
      </c>
      <c r="C66" s="11">
        <v>0.940795918367346</v>
      </c>
      <c r="D66" s="11">
        <v>0.96342895133254</v>
      </c>
      <c r="E66" s="11">
        <v>0.948484254981736</v>
      </c>
      <c r="F66" s="11">
        <v>0.931600465013508</v>
      </c>
      <c r="G66" s="11">
        <v>0.913615953478535</v>
      </c>
      <c r="H66" s="11">
        <v>0.921260620807112</v>
      </c>
      <c r="I66" s="11">
        <v>3.91632653061224</v>
      </c>
      <c r="J66" s="11">
        <v>2.00408163265306</v>
      </c>
      <c r="K66" s="11">
        <v>0.00777773282283403</v>
      </c>
      <c r="L66" s="11">
        <v>0.0143093573376672</v>
      </c>
      <c r="M66" s="11">
        <v>0.0222168231106535</v>
      </c>
      <c r="N66" s="11">
        <v>0.0160837788169588</v>
      </c>
      <c r="O66" s="11">
        <v>0.0140260376475939</v>
      </c>
      <c r="P66" s="11">
        <v>0.010920723592909</v>
      </c>
      <c r="Q66" s="11">
        <v>1.28231491004736</v>
      </c>
      <c r="R66" s="11">
        <v>0.889889528871048</v>
      </c>
    </row>
    <row r="67">
      <c r="A67" s="2"/>
      <c r="B67" s="9" t="s">
        <v>28</v>
      </c>
      <c r="C67" s="11">
        <v>0.952088639698951</v>
      </c>
      <c r="D67" s="11">
        <v>0.973864227227454</v>
      </c>
      <c r="E67" s="11">
        <v>0.97443714566926</v>
      </c>
      <c r="F67" s="11">
        <v>0.958270912978626</v>
      </c>
      <c r="G67" s="11">
        <v>0.935134777822876</v>
      </c>
      <c r="H67" s="11">
        <v>0.945009890327934</v>
      </c>
      <c r="I67" s="11">
        <v>0.809575327716226</v>
      </c>
      <c r="J67" s="11">
        <v>3.98156070238863</v>
      </c>
      <c r="K67" s="11">
        <v>0.0172759173252451</v>
      </c>
      <c r="L67" s="11">
        <v>0.0173879056444793</v>
      </c>
      <c r="M67" s="11">
        <v>0.0166673769180284</v>
      </c>
      <c r="N67" s="11">
        <v>0.0157961964720652</v>
      </c>
      <c r="O67" s="11">
        <v>0.0226935031287015</v>
      </c>
      <c r="P67" s="11">
        <v>0.0197632641001177</v>
      </c>
      <c r="Q67" s="11">
        <v>0.510446683708873</v>
      </c>
      <c r="R67" s="11">
        <v>1.54785683553346</v>
      </c>
    </row>
    <row r="68">
      <c r="A68" s="2"/>
      <c r="B68" s="9" t="s">
        <v>29</v>
      </c>
      <c r="C68" s="11">
        <v>0.946163506373848</v>
      </c>
      <c r="D68" s="11">
        <v>0.968382386178263</v>
      </c>
      <c r="E68" s="11">
        <v>0.965675050063481</v>
      </c>
      <c r="F68" s="11">
        <v>0.949170135861058</v>
      </c>
      <c r="G68" s="11">
        <v>0.937853670059655</v>
      </c>
      <c r="H68" s="11">
        <v>0.942673976114626</v>
      </c>
      <c r="I68" s="11">
        <v>1.42778781253803</v>
      </c>
      <c r="J68" s="11">
        <v>3.95586155007715</v>
      </c>
      <c r="K68" s="11">
        <v>0.0130340585085822</v>
      </c>
      <c r="L68" s="11">
        <v>0.0136639219874336</v>
      </c>
      <c r="M68" s="11">
        <v>0.015167786885894</v>
      </c>
      <c r="N68" s="11">
        <v>0.013103854522218</v>
      </c>
      <c r="O68" s="11">
        <v>0.014738910297</v>
      </c>
      <c r="P68" s="11">
        <v>0.0140376850124422</v>
      </c>
      <c r="Q68" s="11">
        <v>0.666022418130901</v>
      </c>
      <c r="R68" s="11">
        <v>1.00024885183963</v>
      </c>
    </row>
    <row r="69">
      <c r="A69" s="2"/>
      <c r="B69" s="9" t="s">
        <v>30</v>
      </c>
      <c r="C69" s="11">
        <v>0.946834441583591</v>
      </c>
      <c r="D69" s="11">
        <v>0.965517227608104</v>
      </c>
      <c r="E69" s="11">
        <v>0.96401655304529</v>
      </c>
      <c r="F69" s="11">
        <v>0.946089643847512</v>
      </c>
      <c r="G69" s="11">
        <v>0.940260580240749</v>
      </c>
      <c r="H69" s="11">
        <v>0.942902997216637</v>
      </c>
      <c r="I69" s="11">
        <v>2.0380288847678</v>
      </c>
      <c r="J69" s="11">
        <v>3.27852695687303</v>
      </c>
      <c r="K69" s="11">
        <v>0.0206359214192794</v>
      </c>
      <c r="L69" s="11">
        <v>0.0181168777782945</v>
      </c>
      <c r="M69" s="11">
        <v>0.0173144100452653</v>
      </c>
      <c r="N69" s="11">
        <v>0.0224817208392749</v>
      </c>
      <c r="O69" s="11">
        <v>0.0216168842730897</v>
      </c>
      <c r="P69" s="11">
        <v>0.0219953483675271</v>
      </c>
      <c r="Q69" s="11">
        <v>1.12105910668513</v>
      </c>
      <c r="R69" s="11">
        <v>1.15425923267464</v>
      </c>
    </row>
    <row r="70">
      <c r="A70" s="2"/>
      <c r="B70" s="9" t="s">
        <v>31</v>
      </c>
      <c r="C70" s="11">
        <v>0.962967077331025</v>
      </c>
      <c r="D70" s="11">
        <v>0.970841494656106</v>
      </c>
      <c r="E70" s="11">
        <v>0.97411224397514</v>
      </c>
      <c r="F70" s="11">
        <v>0.967065546458311</v>
      </c>
      <c r="G70" s="11">
        <v>0.943993005160781</v>
      </c>
      <c r="H70" s="11">
        <v>0.953741988708687</v>
      </c>
      <c r="I70" s="11">
        <v>0.652047489380582</v>
      </c>
      <c r="J70" s="11">
        <v>3.05124477751688</v>
      </c>
      <c r="K70" s="11">
        <v>0.0226295929597196</v>
      </c>
      <c r="L70" s="11">
        <v>0.0211857850255987</v>
      </c>
      <c r="M70" s="11">
        <v>0.0181767776790034</v>
      </c>
      <c r="N70" s="11">
        <v>0.0173930553297211</v>
      </c>
      <c r="O70" s="11">
        <v>0.0358774454522727</v>
      </c>
      <c r="P70" s="11">
        <v>0.0282109346560438</v>
      </c>
      <c r="Q70" s="11">
        <v>0.411488303316383</v>
      </c>
      <c r="R70" s="11">
        <v>2.20304092732475</v>
      </c>
    </row>
    <row r="71">
      <c r="A71" s="2"/>
      <c r="B71" s="9" t="s">
        <v>14</v>
      </c>
      <c r="C71" s="11">
        <v>0.922714285714285</v>
      </c>
      <c r="D71" s="11">
        <v>0.969854887171736</v>
      </c>
      <c r="E71" s="11">
        <v>0.968757844940412</v>
      </c>
      <c r="F71" s="11">
        <v>0.922705969829023</v>
      </c>
      <c r="G71" s="11">
        <v>0.922837514477673</v>
      </c>
      <c r="H71" s="11">
        <v>0.922463065937109</v>
      </c>
      <c r="I71" s="11">
        <v>4.01632653061224</v>
      </c>
      <c r="J71" s="11">
        <v>3.71224489795918</v>
      </c>
      <c r="K71" s="11">
        <v>0.0135028341696195</v>
      </c>
      <c r="L71" s="11">
        <v>0.00797695936525302</v>
      </c>
      <c r="M71" s="11">
        <v>0.00789778096610883</v>
      </c>
      <c r="N71" s="11">
        <v>0.0136211572549609</v>
      </c>
      <c r="O71" s="11">
        <v>0.0129546827397823</v>
      </c>
      <c r="P71" s="11">
        <v>0.0134437760137071</v>
      </c>
      <c r="Q71" s="11">
        <v>1.22518007754261</v>
      </c>
      <c r="R71" s="11">
        <v>1.02149737785334</v>
      </c>
    </row>
    <row r="72">
      <c r="A72" s="15"/>
      <c r="B72" s="9" t="s">
        <v>15</v>
      </c>
      <c r="C72" s="11">
        <v>0.883663426973771</v>
      </c>
      <c r="D72" s="11">
        <v>0.841123736651341</v>
      </c>
      <c r="E72" s="11">
        <v>0.829731963754347</v>
      </c>
      <c r="F72" s="11">
        <v>0.938101946740169</v>
      </c>
      <c r="G72" s="11">
        <v>0.671193947664535</v>
      </c>
      <c r="H72" s="11">
        <v>0.711821100056577</v>
      </c>
      <c r="I72" s="11">
        <v>0.0</v>
      </c>
      <c r="J72" s="11">
        <v>11.6336573026228</v>
      </c>
      <c r="K72" s="11">
        <v>0.0284360764597232</v>
      </c>
      <c r="L72" s="11">
        <v>0.0718548222840457</v>
      </c>
      <c r="M72" s="11">
        <v>0.0631493019803987</v>
      </c>
      <c r="N72" s="11">
        <v>0.0147434809681668</v>
      </c>
      <c r="O72" s="11">
        <v>0.0785145341439417</v>
      </c>
      <c r="P72" s="11">
        <v>0.0917485654797793</v>
      </c>
      <c r="Q72" s="11">
        <v>0.0</v>
      </c>
      <c r="R72" s="11">
        <v>2.84360764597232</v>
      </c>
    </row>
    <row r="73">
      <c r="A73" s="15"/>
      <c r="B73" s="9" t="s">
        <v>16</v>
      </c>
      <c r="C73" s="11">
        <v>0.889207612531195</v>
      </c>
      <c r="D73" s="11">
        <v>0.925838398945108</v>
      </c>
      <c r="E73" s="11">
        <v>0.925705138383092</v>
      </c>
      <c r="F73" s="11">
        <v>0.882707199195186</v>
      </c>
      <c r="G73" s="11">
        <v>0.851515221182618</v>
      </c>
      <c r="H73" s="11">
        <v>0.863708478180417</v>
      </c>
      <c r="I73" s="11">
        <v>3.5422681322887</v>
      </c>
      <c r="J73" s="11">
        <v>7.53697061459179</v>
      </c>
      <c r="K73" s="11">
        <v>0.0331990838556826</v>
      </c>
      <c r="L73" s="11">
        <v>0.0253533182276831</v>
      </c>
      <c r="M73" s="11">
        <v>0.0289817297762139</v>
      </c>
      <c r="N73" s="11">
        <v>0.0417991653883935</v>
      </c>
      <c r="O73" s="11">
        <v>0.049809980773248</v>
      </c>
      <c r="P73" s="11">
        <v>0.0464131660364973</v>
      </c>
      <c r="Q73" s="11">
        <v>1.60756742051388</v>
      </c>
      <c r="R73" s="11">
        <v>2.4213356008601</v>
      </c>
    </row>
    <row r="74">
      <c r="A74" s="15"/>
      <c r="B74" s="9" t="s">
        <v>17</v>
      </c>
      <c r="C74" s="11">
        <v>0.921216547972669</v>
      </c>
      <c r="D74" s="11">
        <v>0.960218360491584</v>
      </c>
      <c r="E74" s="11">
        <v>0.955405192913748</v>
      </c>
      <c r="F74" s="11">
        <v>0.916751902851743</v>
      </c>
      <c r="G74" s="11">
        <v>0.913206256107923</v>
      </c>
      <c r="H74" s="11">
        <v>0.914063089704165</v>
      </c>
      <c r="I74" s="11">
        <v>3.74932926743211</v>
      </c>
      <c r="J74" s="11">
        <v>4.12901593530089</v>
      </c>
      <c r="K74" s="11">
        <v>0.0235402052002601</v>
      </c>
      <c r="L74" s="11">
        <v>0.0141239074327208</v>
      </c>
      <c r="M74" s="11">
        <v>0.017647290804458</v>
      </c>
      <c r="N74" s="11">
        <v>0.0278367618781113</v>
      </c>
      <c r="O74" s="11">
        <v>0.0284144187476683</v>
      </c>
      <c r="P74" s="11">
        <v>0.0269182161130868</v>
      </c>
      <c r="Q74" s="11">
        <v>1.75089367948022</v>
      </c>
      <c r="R74" s="11">
        <v>1.91946715738592</v>
      </c>
    </row>
    <row r="75">
      <c r="A75" s="15"/>
      <c r="B75" s="9" t="s">
        <v>18</v>
      </c>
      <c r="C75" s="11">
        <v>0.959760756068402</v>
      </c>
      <c r="D75" s="11">
        <v>0.973819822666913</v>
      </c>
      <c r="E75" s="11">
        <v>0.971753995029719</v>
      </c>
      <c r="F75" s="11">
        <v>0.96169379771659</v>
      </c>
      <c r="G75" s="11">
        <v>0.955619215947799</v>
      </c>
      <c r="H75" s="11">
        <v>0.958221247176794</v>
      </c>
      <c r="I75" s="11">
        <v>1.21863092791889</v>
      </c>
      <c r="J75" s="11">
        <v>2.80529346524089</v>
      </c>
      <c r="K75" s="11">
        <v>0.00508251132202531</v>
      </c>
      <c r="L75" s="11">
        <v>0.0130340189609282</v>
      </c>
      <c r="M75" s="11">
        <v>0.0147800502926522</v>
      </c>
      <c r="N75" s="11">
        <v>0.0035456508849056</v>
      </c>
      <c r="O75" s="11">
        <v>0.00789764655521018</v>
      </c>
      <c r="P75" s="11">
        <v>0.00565152947280352</v>
      </c>
      <c r="Q75" s="11">
        <v>0.386627074961931</v>
      </c>
      <c r="R75" s="11">
        <v>0.836857764007817</v>
      </c>
    </row>
    <row r="76">
      <c r="A76" s="2"/>
      <c r="B76" s="13" t="s">
        <v>19</v>
      </c>
      <c r="C76" s="11">
        <f t="shared" ref="C76:R76" si="6">MEDIAN(C66:C75)</f>
        <v>0.9434797124</v>
      </c>
      <c r="D76" s="11">
        <f t="shared" si="6"/>
        <v>0.9669498069</v>
      </c>
      <c r="E76" s="11">
        <f t="shared" si="6"/>
        <v>0.9648458016</v>
      </c>
      <c r="F76" s="11">
        <f t="shared" si="6"/>
        <v>0.9420957953</v>
      </c>
      <c r="G76" s="11">
        <f t="shared" si="6"/>
        <v>0.9289861462</v>
      </c>
      <c r="H76" s="11">
        <f t="shared" si="6"/>
        <v>0.932568521</v>
      </c>
      <c r="I76" s="11">
        <f t="shared" si="6"/>
        <v>1.732908349</v>
      </c>
      <c r="J76" s="11">
        <f t="shared" si="6"/>
        <v>3.834053224</v>
      </c>
      <c r="K76" s="11">
        <f t="shared" si="6"/>
        <v>0.01895591937</v>
      </c>
      <c r="L76" s="11">
        <f t="shared" si="6"/>
        <v>0.01584863149</v>
      </c>
      <c r="M76" s="11">
        <f t="shared" si="6"/>
        <v>0.01748085042</v>
      </c>
      <c r="N76" s="11">
        <f t="shared" si="6"/>
        <v>0.01593998764</v>
      </c>
      <c r="O76" s="11">
        <f t="shared" si="6"/>
        <v>0.0221551937</v>
      </c>
      <c r="P76" s="11">
        <f t="shared" si="6"/>
        <v>0.02087930623</v>
      </c>
      <c r="Q76" s="11">
        <f t="shared" si="6"/>
        <v>0.8935407624</v>
      </c>
      <c r="R76" s="11">
        <f t="shared" si="6"/>
        <v>1.351058034</v>
      </c>
    </row>
    <row r="77">
      <c r="R77" s="2"/>
    </row>
    <row r="78">
      <c r="R78" s="2"/>
    </row>
    <row r="79">
      <c r="R79" s="2"/>
    </row>
    <row r="80">
      <c r="R80" s="2"/>
    </row>
    <row r="81">
      <c r="R81" s="2"/>
    </row>
    <row r="82">
      <c r="R82" s="2"/>
    </row>
    <row r="83">
      <c r="R83" s="2"/>
    </row>
    <row r="84">
      <c r="R84" s="2"/>
    </row>
    <row r="85">
      <c r="R85" s="2"/>
    </row>
    <row r="86">
      <c r="R86" s="2"/>
    </row>
    <row r="87">
      <c r="R87" s="2"/>
    </row>
    <row r="88">
      <c r="R88" s="2"/>
    </row>
    <row r="89">
      <c r="R89" s="2"/>
    </row>
    <row r="90">
      <c r="R90" s="2"/>
    </row>
    <row r="91">
      <c r="R91" s="2"/>
    </row>
    <row r="92">
      <c r="R92" s="2"/>
    </row>
    <row r="93">
      <c r="R93" s="2"/>
    </row>
    <row r="94">
      <c r="R94" s="2"/>
    </row>
    <row r="95">
      <c r="R95" s="2"/>
    </row>
    <row r="96">
      <c r="R96" s="2"/>
    </row>
    <row r="97">
      <c r="R97" s="2"/>
    </row>
    <row r="98">
      <c r="R98" s="2"/>
    </row>
    <row r="99">
      <c r="R99" s="2"/>
    </row>
    <row r="100">
      <c r="R100" s="2"/>
    </row>
    <row r="101">
      <c r="R101" s="2"/>
    </row>
  </sheetData>
  <mergeCells count="6">
    <mergeCell ref="K2:R2"/>
    <mergeCell ref="K13:R13"/>
    <mergeCell ref="K24:R24"/>
    <mergeCell ref="K36:R36"/>
    <mergeCell ref="K50:R50"/>
    <mergeCell ref="K64:R64"/>
  </mergeCells>
  <drawing r:id="rId1"/>
</worksheet>
</file>