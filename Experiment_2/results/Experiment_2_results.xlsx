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P_NA_mix_CV_Reduced" sheetId="1" r:id="rId5"/>
  </sheets>
  <definedNames/>
  <calcPr/>
</workbook>
</file>

<file path=xl/sharedStrings.xml><?xml version="1.0" encoding="utf-8"?>
<sst xmlns="http://schemas.openxmlformats.org/spreadsheetml/2006/main" count="272" uniqueCount="45">
  <si>
    <t>VITEK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</si>
  <si>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</si>
  <si>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</si>
  <si>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</si>
  <si>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</si>
  <si>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</si>
  <si>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</si>
  <si>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</si>
  <si>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</si>
  <si>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</si>
  <si>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</si>
  <si>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Test_Count_S</t>
  </si>
  <si>
    <t>Test_Count_R</t>
  </si>
  <si>
    <t>Train_Count_S</t>
  </si>
  <si>
    <t>Train_Count_R</t>
  </si>
  <si>
    <t>Amikacin_AB</t>
  </si>
  <si>
    <t>Ampicillin-sulbactam_AB</t>
  </si>
  <si>
    <t>Aztreonam_AB</t>
  </si>
  <si>
    <t>Cefazolin_AB</t>
  </si>
  <si>
    <t>Cefepime_AB</t>
  </si>
  <si>
    <t>Ceftazidime_AB</t>
  </si>
  <si>
    <t>Ceftazidime-avibactam_AB</t>
  </si>
  <si>
    <t>Cefuroxime_AB</t>
  </si>
  <si>
    <t>Ciprofloxacin_AB</t>
  </si>
  <si>
    <t>Ertapenem_AB</t>
  </si>
  <si>
    <t>Gentamicin_AB</t>
  </si>
  <si>
    <t>Imipenem_AB</t>
  </si>
  <si>
    <t>Levofloxacin_AB</t>
  </si>
  <si>
    <t>Meropenem_AB</t>
  </si>
  <si>
    <t>Piperacillin-tazobactam_AB</t>
  </si>
  <si>
    <t>Tobramycin_AB</t>
  </si>
  <si>
    <t>Median</t>
  </si>
  <si>
    <t>Average</t>
  </si>
  <si>
    <t>Phoenix</t>
  </si>
  <si>
    <t>NA</t>
  </si>
  <si>
    <t>Acc</t>
  </si>
  <si>
    <t>ROC</t>
  </si>
  <si>
    <t>F1</t>
  </si>
  <si>
    <t>VITEK Baseline</t>
  </si>
  <si>
    <t>Phoenix enriched</t>
  </si>
  <si>
    <t>NA enriched</t>
  </si>
  <si>
    <t>Amoxicillin-clavulanic acid_AB</t>
  </si>
  <si>
    <t>Cefotaxime_AB</t>
  </si>
  <si>
    <t>Ceftriaxone_AB</t>
  </si>
  <si>
    <t>Tigecycline_AB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</si>
</sst>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2" xfId="0" applyAlignment="1" applyBorder="1" applyFont="1" applyNumberFormat="1">
      <alignment readingOrder="0" vertical="top"/>
    </xf>
    <xf borderId="0" fillId="0" fontId="1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EKP_NA_mix_CV_Reduced!$C$64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EKP_NA_mix_CV_Reduced!$C$65:$C$67</c:f>
              <c:numCache/>
            </c:numRef>
          </c:val>
        </c:ser>
        <c:ser>
          <c:idx val="1"/>
          <c:order val="1"/>
          <c:tx>
            <c:strRef>
              <c:f>EKP_NA_mix_CV_Reduced!$D$64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EKP_NA_mix_CV_Reduced!$D$65:$D$67</c:f>
              <c:numCache/>
            </c:numRef>
          </c:val>
        </c:ser>
        <c:ser>
          <c:idx val="2"/>
          <c:order val="2"/>
          <c:tx>
            <c:strRef>
              <c:f>EKP_NA_mix_CV_Reduced!$E$64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EKP_NA_mix_CV_Reduced!$E$65:$E$67</c:f>
              <c:numCache/>
            </c:numRef>
          </c:val>
        </c:ser>
        <c:axId val="1012509537"/>
        <c:axId val="1147593344"/>
      </c:barChart>
      <c:catAx>
        <c:axId val="1012509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147593344"/>
      </c:catAx>
      <c:valAx>
        <c:axId val="1147593344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509537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800100</xdr:colOff>
      <xdr:row>53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O2" s="2" t="s">
        <v>1</v>
      </c>
    </row>
    <row r="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</row>
    <row r="4">
      <c r="B4" s="4" t="s">
        <v>15</v>
      </c>
      <c r="C4" s="5">
        <v>0.808627371338446</v>
      </c>
      <c r="D4" s="5">
        <v>0.864635300349117</v>
      </c>
      <c r="E4" s="5">
        <v>0.858223992195776</v>
      </c>
      <c r="F4" s="5">
        <v>0.811184131795447</v>
      </c>
      <c r="G4" s="5">
        <v>0.77216834609532</v>
      </c>
      <c r="H4" s="5">
        <v>0.783689087596839</v>
      </c>
      <c r="I4" s="6">
        <v>13.8861388672198</v>
      </c>
      <c r="J4" s="6">
        <v>5.25112399893548</v>
      </c>
      <c r="K4" s="7">
        <v>429.6</v>
      </c>
      <c r="L4" s="7">
        <v>256.0</v>
      </c>
      <c r="M4" s="7">
        <v>618.0</v>
      </c>
      <c r="N4" s="7">
        <v>230.0</v>
      </c>
      <c r="O4" s="8">
        <v>0.00531121615348124</v>
      </c>
      <c r="P4" s="8">
        <v>0.00935047309932917</v>
      </c>
      <c r="Q4" s="8">
        <v>0.0104422365999131</v>
      </c>
      <c r="R4" s="8">
        <v>0.00645477564497689</v>
      </c>
      <c r="S4" s="8">
        <v>0.00529740457741642</v>
      </c>
      <c r="T4" s="8">
        <v>0.00569745626346719</v>
      </c>
      <c r="U4" s="8">
        <v>0.347370575157033</v>
      </c>
      <c r="V4" s="8">
        <v>0.335523054496581</v>
      </c>
    </row>
    <row r="5">
      <c r="B5" s="4" t="s">
        <v>16</v>
      </c>
      <c r="C5" s="5">
        <v>0.872690393255646</v>
      </c>
      <c r="D5" s="5">
        <v>0.728593748947775</v>
      </c>
      <c r="E5" s="5">
        <v>0.658415247123037</v>
      </c>
      <c r="F5" s="5">
        <v>0.658563262564926</v>
      </c>
      <c r="G5" s="5">
        <v>0.670640391114272</v>
      </c>
      <c r="H5" s="5">
        <v>0.664043586942069</v>
      </c>
      <c r="I5" s="6">
        <v>6.78704832616651</v>
      </c>
      <c r="J5" s="6">
        <v>5.94391234826887</v>
      </c>
      <c r="K5" s="7">
        <v>67.2</v>
      </c>
      <c r="L5" s="7">
        <v>592.8</v>
      </c>
      <c r="M5" s="7">
        <v>149.0</v>
      </c>
      <c r="N5" s="7">
        <v>365.0</v>
      </c>
      <c r="O5" s="8">
        <v>0.00364041640704744</v>
      </c>
      <c r="P5" s="8">
        <v>0.0152367400544662</v>
      </c>
      <c r="Q5" s="8">
        <v>0.0069244271646819</v>
      </c>
      <c r="R5" s="8">
        <v>0.0114168089388817</v>
      </c>
      <c r="S5" s="8">
        <v>0.0190029153875008</v>
      </c>
      <c r="T5" s="8">
        <v>0.0143569008412494</v>
      </c>
      <c r="U5" s="8">
        <v>0.201351654612849</v>
      </c>
      <c r="V5" s="8">
        <v>0.503689835847452</v>
      </c>
    </row>
    <row r="6">
      <c r="B6" s="4" t="s">
        <v>17</v>
      </c>
      <c r="C6" s="5">
        <v>0.81577742910924</v>
      </c>
      <c r="D6" s="5">
        <v>0.792776718568801</v>
      </c>
      <c r="E6" s="5">
        <v>0.718519708660493</v>
      </c>
      <c r="F6" s="5">
        <v>0.687527719813111</v>
      </c>
      <c r="G6" s="5">
        <v>0.705629595176962</v>
      </c>
      <c r="H6" s="5">
        <v>0.695305928064865</v>
      </c>
      <c r="I6" s="6">
        <v>10.2831287413186</v>
      </c>
      <c r="J6" s="6">
        <v>8.13912834775732</v>
      </c>
      <c r="K6" s="7">
        <v>104.8</v>
      </c>
      <c r="L6" s="7">
        <v>494.4</v>
      </c>
      <c r="M6" s="7">
        <v>232.0</v>
      </c>
      <c r="N6" s="7">
        <v>426.0</v>
      </c>
      <c r="O6" s="8">
        <v>0.00673757871996211</v>
      </c>
      <c r="P6" s="8">
        <v>0.0169012420617571</v>
      </c>
      <c r="Q6" s="8">
        <v>0.0147836213669009</v>
      </c>
      <c r="R6" s="8">
        <v>0.00693585159420755</v>
      </c>
      <c r="S6" s="8">
        <v>0.016151274369466</v>
      </c>
      <c r="T6" s="8">
        <v>0.00992945783095756</v>
      </c>
      <c r="U6" s="8">
        <v>0.40544524054018</v>
      </c>
      <c r="V6" s="8">
        <v>0.913510475030462</v>
      </c>
    </row>
    <row r="7">
      <c r="B7" s="4" t="s">
        <v>18</v>
      </c>
      <c r="C7" s="5">
        <v>0.956072418477912</v>
      </c>
      <c r="D7" s="5">
        <v>0.932681189873693</v>
      </c>
      <c r="E7" s="5">
        <v>0.884101274501929</v>
      </c>
      <c r="F7" s="5">
        <v>0.857111616273156</v>
      </c>
      <c r="G7" s="5">
        <v>0.872744956461481</v>
      </c>
      <c r="H7" s="5">
        <v>0.863820729009771</v>
      </c>
      <c r="I7" s="6">
        <v>2.392675001231</v>
      </c>
      <c r="J7" s="6">
        <v>2.00008315097778</v>
      </c>
      <c r="K7" s="7">
        <v>17.6</v>
      </c>
      <c r="L7" s="7">
        <v>183.2</v>
      </c>
      <c r="M7" s="7">
        <v>185.0</v>
      </c>
      <c r="N7" s="7">
        <v>388.0</v>
      </c>
      <c r="O7" s="8">
        <v>0.00545421483833554</v>
      </c>
      <c r="P7" s="8">
        <v>0.0122952307900425</v>
      </c>
      <c r="Q7" s="8">
        <v>0.0204851021993787</v>
      </c>
      <c r="R7" s="8">
        <v>0.0292769591259048</v>
      </c>
      <c r="S7" s="8">
        <v>0.0214827305700197</v>
      </c>
      <c r="T7" s="8">
        <v>0.0213487046432721</v>
      </c>
      <c r="U7" s="8">
        <v>0.493681206055911</v>
      </c>
      <c r="V7" s="8">
        <v>0.478663719365365</v>
      </c>
    </row>
    <row r="8">
      <c r="B8" s="4" t="s">
        <v>19</v>
      </c>
      <c r="C8" s="5">
        <v>0.689427957087172</v>
      </c>
      <c r="D8" s="5">
        <v>0.644152738346701</v>
      </c>
      <c r="E8" s="5">
        <v>0.58885029193739</v>
      </c>
      <c r="F8" s="5">
        <v>0.537384830248803</v>
      </c>
      <c r="G8" s="5">
        <v>0.555443800807506</v>
      </c>
      <c r="H8" s="5">
        <v>0.53461543400794</v>
      </c>
      <c r="I8" s="6">
        <v>21.0613452403846</v>
      </c>
      <c r="J8" s="6">
        <v>9.99585905089809</v>
      </c>
      <c r="K8" s="7">
        <v>106.4</v>
      </c>
      <c r="L8" s="7">
        <v>573.6</v>
      </c>
      <c r="M8" s="7">
        <v>99.0</v>
      </c>
      <c r="N8" s="7">
        <v>593.0</v>
      </c>
      <c r="O8" s="8">
        <v>0.00594600904887854</v>
      </c>
      <c r="P8" s="8">
        <v>0.0124633069416523</v>
      </c>
      <c r="Q8" s="8">
        <v>0.0123124565416981</v>
      </c>
      <c r="R8" s="8">
        <v>0.00727438926171103</v>
      </c>
      <c r="S8" s="8">
        <v>0.0106381925116687</v>
      </c>
      <c r="T8" s="8">
        <v>0.0083591094074202</v>
      </c>
      <c r="U8" s="8">
        <v>0.475419067569482</v>
      </c>
      <c r="V8" s="8">
        <v>0.435677354785699</v>
      </c>
    </row>
    <row r="9">
      <c r="B9" s="4" t="s">
        <v>20</v>
      </c>
      <c r="C9" s="5">
        <v>0.867471533538264</v>
      </c>
      <c r="D9" s="5">
        <v>0.870025781276146</v>
      </c>
      <c r="E9" s="5">
        <v>0.806732658494653</v>
      </c>
      <c r="F9" s="5">
        <v>0.797992541094348</v>
      </c>
      <c r="G9" s="5">
        <v>0.794848464547059</v>
      </c>
      <c r="H9" s="5">
        <v>0.796334320105871</v>
      </c>
      <c r="I9" s="6">
        <v>6.48142858601611</v>
      </c>
      <c r="J9" s="6">
        <v>6.77141806015746</v>
      </c>
      <c r="K9" s="7">
        <v>284.8</v>
      </c>
      <c r="L9" s="7">
        <v>1097.6</v>
      </c>
      <c r="M9" s="7">
        <v>245.0</v>
      </c>
      <c r="N9" s="7">
        <v>492.0</v>
      </c>
      <c r="O9" s="8">
        <v>0.00302490590432395</v>
      </c>
      <c r="P9" s="8">
        <v>0.00802452698476704</v>
      </c>
      <c r="Q9" s="8">
        <v>0.00975423004936587</v>
      </c>
      <c r="R9" s="8">
        <v>0.00354784143751403</v>
      </c>
      <c r="S9" s="8">
        <v>0.00821377057631028</v>
      </c>
      <c r="T9" s="8">
        <v>0.0056098410875699</v>
      </c>
      <c r="U9" s="8">
        <v>0.224708385767138</v>
      </c>
      <c r="V9" s="8">
        <v>0.385655178620136</v>
      </c>
    </row>
    <row r="10">
      <c r="B10" s="4" t="s">
        <v>21</v>
      </c>
      <c r="C10" s="5">
        <v>0.740475488283255</v>
      </c>
      <c r="D10" s="5">
        <v>0.944736114929778</v>
      </c>
      <c r="E10" s="5">
        <v>0.947428576497309</v>
      </c>
      <c r="F10" s="5">
        <v>0.729999508600965</v>
      </c>
      <c r="G10" s="5">
        <v>0.783999614139624</v>
      </c>
      <c r="H10" s="5">
        <v>0.723951894461871</v>
      </c>
      <c r="I10" s="6">
        <v>3.29902446037255</v>
      </c>
      <c r="J10" s="6">
        <v>22.6534267113018</v>
      </c>
      <c r="K10" s="7">
        <v>104.0</v>
      </c>
      <c r="L10" s="7">
        <v>40.8</v>
      </c>
      <c r="M10" s="7">
        <v>130.0</v>
      </c>
      <c r="N10" s="7">
        <v>338.0</v>
      </c>
      <c r="O10" s="8">
        <v>0.00978143237487741</v>
      </c>
      <c r="P10" s="8">
        <v>0.00871352370133254</v>
      </c>
      <c r="Q10" s="8">
        <v>0.00751786103026489</v>
      </c>
      <c r="R10" s="8">
        <v>0.00698770777298527</v>
      </c>
      <c r="S10" s="8">
        <v>0.0142473160448222</v>
      </c>
      <c r="T10" s="8">
        <v>0.00746956555288475</v>
      </c>
      <c r="U10" s="8">
        <v>0.744154090538215</v>
      </c>
      <c r="V10" s="8">
        <v>0.573109215302644</v>
      </c>
    </row>
    <row r="11">
      <c r="B11" s="4" t="s">
        <v>22</v>
      </c>
      <c r="C11" s="5">
        <v>0.57347901579081</v>
      </c>
      <c r="D11" s="5">
        <v>0.433132884881695</v>
      </c>
      <c r="E11" s="5">
        <v>0.450596902559611</v>
      </c>
      <c r="F11" s="5">
        <v>0.439244146561202</v>
      </c>
      <c r="G11" s="5">
        <v>0.474409068908923</v>
      </c>
      <c r="H11" s="5">
        <v>0.420279706405768</v>
      </c>
      <c r="I11" s="6">
        <v>8.16800251835987</v>
      </c>
      <c r="J11" s="6">
        <v>34.484095902559</v>
      </c>
      <c r="K11" s="7">
        <v>363.2</v>
      </c>
      <c r="L11" s="7">
        <v>606.4</v>
      </c>
      <c r="M11" s="7">
        <v>161.0</v>
      </c>
      <c r="N11" s="7">
        <v>487.0</v>
      </c>
      <c r="O11" s="8">
        <v>0.00716918205636538</v>
      </c>
      <c r="P11" s="8">
        <v>0.00673907503639107</v>
      </c>
      <c r="Q11" s="8">
        <v>0.00443320723570896</v>
      </c>
      <c r="R11" s="8">
        <v>0.0121726859102167</v>
      </c>
      <c r="S11" s="8">
        <v>0.00482265729566808</v>
      </c>
      <c r="T11" s="8">
        <v>0.00766778293057287</v>
      </c>
      <c r="U11" s="8">
        <v>0.363606137825483</v>
      </c>
      <c r="V11" s="8">
        <v>0.801969433393501</v>
      </c>
    </row>
    <row r="12">
      <c r="B12" s="4" t="s">
        <v>23</v>
      </c>
      <c r="C12" s="5">
        <v>0.851853169800859</v>
      </c>
      <c r="D12" s="5">
        <v>0.520314437398636</v>
      </c>
      <c r="E12" s="5">
        <v>0.53325394336419</v>
      </c>
      <c r="F12" s="5">
        <v>0.425926584900429</v>
      </c>
      <c r="G12" s="5">
        <v>0.5</v>
      </c>
      <c r="H12" s="5">
        <v>0.459996639510761</v>
      </c>
      <c r="I12" s="6">
        <v>0.0</v>
      </c>
      <c r="J12" s="6">
        <v>14.814683019914</v>
      </c>
      <c r="K12" s="7">
        <v>127.2</v>
      </c>
      <c r="L12" s="7">
        <v>731.2</v>
      </c>
      <c r="M12" s="7">
        <v>84.0</v>
      </c>
      <c r="N12" s="7">
        <v>764.0</v>
      </c>
      <c r="O12" s="8">
        <v>0.00488132436084362</v>
      </c>
      <c r="P12" s="8">
        <v>0.0122679869621109</v>
      </c>
      <c r="Q12" s="8">
        <v>0.0089436443027168</v>
      </c>
      <c r="R12" s="8">
        <v>0.00244066218042178</v>
      </c>
      <c r="S12" s="8">
        <v>0.0</v>
      </c>
      <c r="T12" s="8">
        <v>0.00142068738958472</v>
      </c>
      <c r="U12" s="8">
        <v>0.0</v>
      </c>
      <c r="V12" s="8">
        <v>0.48813243608436</v>
      </c>
    </row>
    <row r="13">
      <c r="B13" s="4" t="s">
        <v>24</v>
      </c>
      <c r="C13" s="5">
        <v>0.936264297838639</v>
      </c>
      <c r="D13" s="5">
        <v>0.92872050215313</v>
      </c>
      <c r="E13" s="5">
        <v>0.756123629341073</v>
      </c>
      <c r="F13" s="5">
        <v>0.468132148919319</v>
      </c>
      <c r="G13" s="5">
        <v>0.5</v>
      </c>
      <c r="H13" s="5">
        <v>0.483531299749648</v>
      </c>
      <c r="I13" s="6">
        <v>0.0</v>
      </c>
      <c r="J13" s="6">
        <v>6.37357021613603</v>
      </c>
      <c r="K13" s="7">
        <v>25.6</v>
      </c>
      <c r="L13" s="7">
        <v>375.2</v>
      </c>
      <c r="M13" s="7">
        <v>230.0</v>
      </c>
      <c r="N13" s="7">
        <v>580.0</v>
      </c>
      <c r="O13" s="8">
        <v>0.00864450601757729</v>
      </c>
      <c r="P13" s="8">
        <v>0.00401152200362102</v>
      </c>
      <c r="Q13" s="8">
        <v>0.0193565764996426</v>
      </c>
      <c r="R13" s="8">
        <v>0.00432225300878865</v>
      </c>
      <c r="S13" s="8">
        <v>0.0</v>
      </c>
      <c r="T13" s="8">
        <v>0.00230265048666785</v>
      </c>
      <c r="U13" s="8">
        <v>0.0</v>
      </c>
      <c r="V13" s="8">
        <v>0.864450601757729</v>
      </c>
    </row>
    <row r="14">
      <c r="B14" s="4" t="s">
        <v>25</v>
      </c>
      <c r="C14" s="5">
        <v>0.836027223146427</v>
      </c>
      <c r="D14" s="5">
        <v>0.886760638131903</v>
      </c>
      <c r="E14" s="5">
        <v>0.880689414354116</v>
      </c>
      <c r="F14" s="5">
        <v>0.835481706407489</v>
      </c>
      <c r="G14" s="5">
        <v>0.837284631491667</v>
      </c>
      <c r="H14" s="5">
        <v>0.835666483405181</v>
      </c>
      <c r="I14" s="6">
        <v>6.76898842766793</v>
      </c>
      <c r="J14" s="6">
        <v>9.62828925768928</v>
      </c>
      <c r="K14" s="7">
        <v>451.2</v>
      </c>
      <c r="L14" s="7">
        <v>388.0</v>
      </c>
      <c r="M14" s="7">
        <v>426.0</v>
      </c>
      <c r="N14" s="7">
        <v>422.0</v>
      </c>
      <c r="O14" s="8">
        <v>0.00532593547196695</v>
      </c>
      <c r="P14" s="8">
        <v>0.00667697504837514</v>
      </c>
      <c r="Q14" s="8">
        <v>0.0071897781219994</v>
      </c>
      <c r="R14" s="8">
        <v>0.00516083577851445</v>
      </c>
      <c r="S14" s="8">
        <v>0.00532037986623744</v>
      </c>
      <c r="T14" s="8">
        <v>0.00527484202383124</v>
      </c>
      <c r="U14" s="8">
        <v>0.354693284487282</v>
      </c>
      <c r="V14" s="8">
        <v>0.435183159756686</v>
      </c>
    </row>
    <row r="15">
      <c r="B15" s="4" t="s">
        <v>26</v>
      </c>
      <c r="C15" s="5">
        <v>0.326247290094852</v>
      </c>
      <c r="D15" s="5">
        <v>0.731105983736047</v>
      </c>
      <c r="E15" s="5">
        <v>0.672311381333307</v>
      </c>
      <c r="F15" s="5">
        <v>0.624260006516128</v>
      </c>
      <c r="G15" s="5">
        <v>0.509628597354778</v>
      </c>
      <c r="H15" s="5">
        <v>0.262096932262073</v>
      </c>
      <c r="I15" s="6">
        <v>0.112509423536469</v>
      </c>
      <c r="J15" s="6">
        <v>67.2627615669782</v>
      </c>
      <c r="K15" s="7">
        <v>489.6</v>
      </c>
      <c r="L15" s="7">
        <v>221.6</v>
      </c>
      <c r="M15" s="7">
        <v>102.0</v>
      </c>
      <c r="N15" s="7">
        <v>503.0</v>
      </c>
      <c r="O15" s="8">
        <v>0.00439002399113739</v>
      </c>
      <c r="P15" s="8">
        <v>0.0115661733737811</v>
      </c>
      <c r="Q15" s="8">
        <v>0.0110097336405013</v>
      </c>
      <c r="R15" s="8">
        <v>0.0149264220762226</v>
      </c>
      <c r="S15" s="8">
        <v>0.00153928587670279</v>
      </c>
      <c r="T15" s="8">
        <v>0.00200623183246495</v>
      </c>
      <c r="U15" s="8">
        <v>0.056293927806073</v>
      </c>
      <c r="V15" s="8">
        <v>0.486040276507211</v>
      </c>
    </row>
    <row r="16">
      <c r="B16" s="4" t="s">
        <v>27</v>
      </c>
      <c r="C16" s="5">
        <v>0.666053689813563</v>
      </c>
      <c r="D16" s="5">
        <v>0.761173937875506</v>
      </c>
      <c r="E16" s="5">
        <v>0.752432145859465</v>
      </c>
      <c r="F16" s="5">
        <v>0.701574448675238</v>
      </c>
      <c r="G16" s="5">
        <v>0.63411497433746</v>
      </c>
      <c r="H16" s="5">
        <v>0.619145442264205</v>
      </c>
      <c r="I16" s="6">
        <v>4.91428468658661</v>
      </c>
      <c r="J16" s="6">
        <v>28.480346332057</v>
      </c>
      <c r="K16" s="7">
        <v>208.8</v>
      </c>
      <c r="L16" s="7">
        <v>263.2</v>
      </c>
      <c r="M16" s="7">
        <v>186.0</v>
      </c>
      <c r="N16" s="7">
        <v>393.0</v>
      </c>
      <c r="O16" s="8">
        <v>0.00772882768186136</v>
      </c>
      <c r="P16" s="8">
        <v>0.0104146224315287</v>
      </c>
      <c r="Q16" s="8">
        <v>0.00917091267933865</v>
      </c>
      <c r="R16" s="8">
        <v>0.00616001341227585</v>
      </c>
      <c r="S16" s="8">
        <v>0.00721663046474976</v>
      </c>
      <c r="T16" s="8">
        <v>0.00963325502424687</v>
      </c>
      <c r="U16" s="8">
        <v>0.0996413455295249</v>
      </c>
      <c r="V16" s="8">
        <v>0.83436505539193</v>
      </c>
    </row>
    <row r="17">
      <c r="B17" s="4" t="s">
        <v>28</v>
      </c>
      <c r="C17" s="5">
        <v>0.357581685870105</v>
      </c>
      <c r="D17" s="5">
        <v>0.670053650628874</v>
      </c>
      <c r="E17" s="5">
        <v>0.652637090432175</v>
      </c>
      <c r="F17" s="5">
        <v>0.649034807038399</v>
      </c>
      <c r="G17" s="5">
        <v>0.515315884324606</v>
      </c>
      <c r="H17" s="5">
        <v>0.287928002944889</v>
      </c>
      <c r="I17" s="6">
        <v>0.106730493987836</v>
      </c>
      <c r="J17" s="6">
        <v>64.1351009190016</v>
      </c>
      <c r="K17" s="7">
        <v>497.6</v>
      </c>
      <c r="L17" s="7">
        <v>252.0</v>
      </c>
      <c r="M17" s="7">
        <v>295.0</v>
      </c>
      <c r="N17" s="7">
        <v>553.0</v>
      </c>
      <c r="O17" s="8">
        <v>0.0046115100906151</v>
      </c>
      <c r="P17" s="8">
        <v>0.0107788794820609</v>
      </c>
      <c r="Q17" s="8">
        <v>0.00650733031516246</v>
      </c>
      <c r="R17" s="8">
        <v>0.0110227022422932</v>
      </c>
      <c r="S17" s="8">
        <v>0.00216475072659637</v>
      </c>
      <c r="T17" s="8">
        <v>0.00510607306512261</v>
      </c>
      <c r="U17" s="8">
        <v>0.0534006024947243</v>
      </c>
      <c r="V17" s="8">
        <v>0.487054530390464</v>
      </c>
    </row>
    <row r="18">
      <c r="B18" s="4" t="s">
        <v>29</v>
      </c>
      <c r="C18" s="5">
        <v>0.631976395905204</v>
      </c>
      <c r="D18" s="5">
        <v>0.662668910504561</v>
      </c>
      <c r="E18" s="5">
        <v>0.621037843848446</v>
      </c>
      <c r="F18" s="5">
        <v>0.599335285899032</v>
      </c>
      <c r="G18" s="5">
        <v>0.58555283121627</v>
      </c>
      <c r="H18" s="5">
        <v>0.585497213602986</v>
      </c>
      <c r="I18" s="6">
        <v>13.5043352577849</v>
      </c>
      <c r="J18" s="6">
        <v>23.2980251516945</v>
      </c>
      <c r="K18" s="7">
        <v>246.4</v>
      </c>
      <c r="L18" s="7">
        <v>399.2</v>
      </c>
      <c r="M18" s="7">
        <v>226.0</v>
      </c>
      <c r="N18" s="7">
        <v>467.0</v>
      </c>
      <c r="O18" s="8">
        <v>0.00279528400235246</v>
      </c>
      <c r="P18" s="8">
        <v>0.00626969000160072</v>
      </c>
      <c r="Q18" s="8">
        <v>0.00848230584544565</v>
      </c>
      <c r="R18" s="8">
        <v>0.00326552829949957</v>
      </c>
      <c r="S18" s="8">
        <v>0.00357837489128085</v>
      </c>
      <c r="T18" s="8">
        <v>0.00386365439354871</v>
      </c>
      <c r="U18" s="8">
        <v>0.318660326605342</v>
      </c>
      <c r="V18" s="8">
        <v>0.440030824966325</v>
      </c>
    </row>
    <row r="19">
      <c r="B19" s="4" t="s">
        <v>30</v>
      </c>
      <c r="C19" s="5">
        <v>0.864373685466457</v>
      </c>
      <c r="D19" s="5">
        <v>0.903355739535496</v>
      </c>
      <c r="E19" s="5">
        <v>0.885884910300702</v>
      </c>
      <c r="F19" s="5">
        <v>0.850333111757784</v>
      </c>
      <c r="G19" s="5">
        <v>0.866890350805338</v>
      </c>
      <c r="H19" s="5">
        <v>0.8564129739035</v>
      </c>
      <c r="I19" s="6">
        <v>9.09593602277582</v>
      </c>
      <c r="J19" s="6">
        <v>4.46669543057841</v>
      </c>
      <c r="K19" s="7">
        <v>167.2</v>
      </c>
      <c r="L19" s="7">
        <v>298.4</v>
      </c>
      <c r="M19" s="7">
        <v>266.0</v>
      </c>
      <c r="N19" s="7">
        <v>426.0</v>
      </c>
      <c r="O19" s="8">
        <v>0.00870484733807966</v>
      </c>
      <c r="P19" s="8">
        <v>0.00862676948700278</v>
      </c>
      <c r="Q19" s="8">
        <v>0.0115159198891228</v>
      </c>
      <c r="R19" s="8">
        <v>0.00850525020599704</v>
      </c>
      <c r="S19" s="8">
        <v>0.00793171040103639</v>
      </c>
      <c r="T19" s="8">
        <v>0.00852252975225276</v>
      </c>
      <c r="U19" s="8">
        <v>0.760849535062078</v>
      </c>
      <c r="V19" s="8">
        <v>0.348071112122881</v>
      </c>
    </row>
    <row r="20">
      <c r="B20" s="4" t="s">
        <v>31</v>
      </c>
      <c r="C20" s="5">
        <f t="shared" ref="C20:V20" si="1">MEDIAN(C4:C19)</f>
        <v>0.8122024002</v>
      </c>
      <c r="D20" s="5">
        <f t="shared" si="1"/>
        <v>0.7769753282</v>
      </c>
      <c r="E20" s="5">
        <f t="shared" si="1"/>
        <v>0.7354759273</v>
      </c>
      <c r="F20" s="5">
        <f t="shared" si="1"/>
        <v>0.6730454912</v>
      </c>
      <c r="G20" s="5">
        <f t="shared" si="1"/>
        <v>0.6523776827</v>
      </c>
      <c r="H20" s="5">
        <f t="shared" si="1"/>
        <v>0.6415945146</v>
      </c>
      <c r="I20" s="6">
        <f t="shared" si="1"/>
        <v>6.625208507</v>
      </c>
      <c r="J20" s="6">
        <f t="shared" si="1"/>
        <v>9.812074154</v>
      </c>
      <c r="K20" s="9">
        <f t="shared" si="1"/>
        <v>188</v>
      </c>
      <c r="L20" s="9">
        <f t="shared" si="1"/>
        <v>381.6</v>
      </c>
      <c r="M20" s="9">
        <f t="shared" si="1"/>
        <v>206</v>
      </c>
      <c r="N20" s="9">
        <f t="shared" si="1"/>
        <v>446.5</v>
      </c>
      <c r="O20" s="8">
        <f t="shared" si="1"/>
        <v>0.005390075155</v>
      </c>
      <c r="P20" s="8">
        <f t="shared" si="1"/>
        <v>0.009882547765</v>
      </c>
      <c r="Q20" s="8">
        <f t="shared" si="1"/>
        <v>0.009462571364</v>
      </c>
      <c r="R20" s="8">
        <f t="shared" si="1"/>
        <v>0.006961779684</v>
      </c>
      <c r="S20" s="8">
        <f t="shared" si="1"/>
        <v>0.006268505165</v>
      </c>
      <c r="T20" s="8">
        <f t="shared" si="1"/>
        <v>0.006583510908</v>
      </c>
      <c r="U20" s="8">
        <f t="shared" si="1"/>
        <v>0.3330154509</v>
      </c>
      <c r="V20" s="8">
        <f t="shared" si="1"/>
        <v>0.4865474034</v>
      </c>
    </row>
    <row r="21">
      <c r="B21" s="4" t="s">
        <v>32</v>
      </c>
      <c r="C21" s="5">
        <f t="shared" ref="C21:V21" si="2">AVERAGE(C4:C19)</f>
        <v>0.7371499403</v>
      </c>
      <c r="D21" s="5">
        <f t="shared" si="2"/>
        <v>0.7671805173</v>
      </c>
      <c r="E21" s="5">
        <f t="shared" si="2"/>
        <v>0.7292024382</v>
      </c>
      <c r="F21" s="5">
        <f t="shared" si="2"/>
        <v>0.6670678661</v>
      </c>
      <c r="G21" s="5">
        <f t="shared" si="2"/>
        <v>0.6611669692</v>
      </c>
      <c r="H21" s="5">
        <f t="shared" si="2"/>
        <v>0.6170197296</v>
      </c>
      <c r="I21" s="6">
        <f t="shared" si="2"/>
        <v>6.678848503</v>
      </c>
      <c r="J21" s="6">
        <f t="shared" si="2"/>
        <v>19.60615747</v>
      </c>
      <c r="K21" s="9">
        <f t="shared" si="2"/>
        <v>230.7</v>
      </c>
      <c r="L21" s="9">
        <f t="shared" si="2"/>
        <v>423.35</v>
      </c>
      <c r="M21" s="9">
        <f t="shared" si="2"/>
        <v>227.125</v>
      </c>
      <c r="N21" s="9">
        <f t="shared" si="2"/>
        <v>464.1875</v>
      </c>
      <c r="O21" s="8">
        <f t="shared" si="2"/>
        <v>0.005884200904</v>
      </c>
      <c r="P21" s="8">
        <f t="shared" si="2"/>
        <v>0.01002104609</v>
      </c>
      <c r="Q21" s="8">
        <f t="shared" si="2"/>
        <v>0.01055183397</v>
      </c>
      <c r="R21" s="8">
        <f t="shared" si="2"/>
        <v>0.008741917931</v>
      </c>
      <c r="S21" s="8">
        <f t="shared" si="2"/>
        <v>0.007975462097</v>
      </c>
      <c r="T21" s="8">
        <f t="shared" si="2"/>
        <v>0.007410546408</v>
      </c>
      <c r="U21" s="8">
        <f t="shared" si="2"/>
        <v>0.3062047113</v>
      </c>
      <c r="V21" s="8">
        <f t="shared" si="2"/>
        <v>0.5506953915</v>
      </c>
    </row>
    <row r="22">
      <c r="B22" s="1" t="s">
        <v>33</v>
      </c>
      <c r="O22" s="2" t="s">
        <v>1</v>
      </c>
    </row>
    <row r="23"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3</v>
      </c>
      <c r="P23" s="3" t="s">
        <v>4</v>
      </c>
      <c r="Q23" s="3" t="s">
        <v>5</v>
      </c>
      <c r="R23" s="3" t="s">
        <v>6</v>
      </c>
      <c r="S23" s="3" t="s">
        <v>7</v>
      </c>
      <c r="T23" s="3" t="s">
        <v>8</v>
      </c>
      <c r="U23" s="3" t="s">
        <v>9</v>
      </c>
      <c r="V23" s="3" t="s">
        <v>10</v>
      </c>
    </row>
    <row r="24">
      <c r="B24" s="4" t="s">
        <v>15</v>
      </c>
      <c r="C24" s="5">
        <v>0.828072999707141</v>
      </c>
      <c r="D24" s="5">
        <v>0.884088161508688</v>
      </c>
      <c r="E24" s="5">
        <v>0.853923209779972</v>
      </c>
      <c r="F24" s="5">
        <v>0.817418711576669</v>
      </c>
      <c r="G24" s="5">
        <v>0.830114705445204</v>
      </c>
      <c r="H24" s="5">
        <v>0.820713274918439</v>
      </c>
      <c r="I24" s="6">
        <v>6.03995039983941</v>
      </c>
      <c r="J24" s="6">
        <v>11.1527496294464</v>
      </c>
      <c r="K24" s="7">
        <v>429.6</v>
      </c>
      <c r="L24" s="7">
        <v>256.0</v>
      </c>
      <c r="M24" s="7">
        <v>620.4</v>
      </c>
      <c r="N24" s="7">
        <v>227.6</v>
      </c>
      <c r="O24" s="8">
        <v>0.0234389870607511</v>
      </c>
      <c r="P24" s="8">
        <v>0.015412953620314</v>
      </c>
      <c r="Q24" s="8">
        <v>0.0164429038126984</v>
      </c>
      <c r="R24" s="8">
        <v>0.023056876923707</v>
      </c>
      <c r="S24" s="8">
        <v>0.0214852205098198</v>
      </c>
      <c r="T24" s="8">
        <v>0.0235828974116259</v>
      </c>
      <c r="U24" s="8">
        <v>1.21663904439172</v>
      </c>
      <c r="V24" s="8">
        <v>2.35169793518244</v>
      </c>
    </row>
    <row r="25">
      <c r="B25" s="4" t="s">
        <v>16</v>
      </c>
      <c r="C25" s="5">
        <v>0.872730393904529</v>
      </c>
      <c r="D25" s="5">
        <v>0.7234687928018</v>
      </c>
      <c r="E25" s="5">
        <v>0.645356364618499</v>
      </c>
      <c r="F25" s="5">
        <v>0.658440966558491</v>
      </c>
      <c r="G25" s="5">
        <v>0.661364218035432</v>
      </c>
      <c r="H25" s="5">
        <v>0.658612416624456</v>
      </c>
      <c r="I25" s="6">
        <v>6.57049223100636</v>
      </c>
      <c r="J25" s="6">
        <v>6.15646837854068</v>
      </c>
      <c r="K25" s="7">
        <v>67.2</v>
      </c>
      <c r="L25" s="7">
        <v>592.8</v>
      </c>
      <c r="M25" s="7">
        <v>97.0</v>
      </c>
      <c r="N25" s="7">
        <v>560.4</v>
      </c>
      <c r="O25" s="8">
        <v>0.0107358597369544</v>
      </c>
      <c r="P25" s="8">
        <v>0.0366138601845318</v>
      </c>
      <c r="Q25" s="8">
        <v>0.0199280038157585</v>
      </c>
      <c r="R25" s="8">
        <v>0.0295852264000834</v>
      </c>
      <c r="S25" s="8">
        <v>0.0173271538899274</v>
      </c>
      <c r="T25" s="8">
        <v>0.0204913455043838</v>
      </c>
      <c r="U25" s="8">
        <v>1.25281207113835</v>
      </c>
      <c r="V25" s="8">
        <v>0.455915572800994</v>
      </c>
    </row>
    <row r="26">
      <c r="B26" s="4" t="s">
        <v>17</v>
      </c>
      <c r="C26" s="5">
        <v>0.827168857444062</v>
      </c>
      <c r="D26" s="5">
        <v>0.79750253120394</v>
      </c>
      <c r="E26" s="5">
        <v>0.725253326189511</v>
      </c>
      <c r="F26" s="5">
        <v>0.706942381590904</v>
      </c>
      <c r="G26" s="5">
        <v>0.727285503558441</v>
      </c>
      <c r="H26" s="5">
        <v>0.715196262851516</v>
      </c>
      <c r="I26" s="6">
        <v>9.80514337207234</v>
      </c>
      <c r="J26" s="6">
        <v>7.47797088352138</v>
      </c>
      <c r="K26" s="7">
        <v>104.8</v>
      </c>
      <c r="L26" s="7">
        <v>494.4</v>
      </c>
      <c r="M26" s="7">
        <v>173.4</v>
      </c>
      <c r="N26" s="7">
        <v>558.0</v>
      </c>
      <c r="O26" s="8">
        <v>0.0128263232788006</v>
      </c>
      <c r="P26" s="8">
        <v>0.0159708134400491</v>
      </c>
      <c r="Q26" s="8">
        <v>0.0101161562307145</v>
      </c>
      <c r="R26" s="8">
        <v>0.0116256997021468</v>
      </c>
      <c r="S26" s="8">
        <v>0.0190306685721867</v>
      </c>
      <c r="T26" s="8">
        <v>0.0124147593390837</v>
      </c>
      <c r="U26" s="8">
        <v>1.40676266023327</v>
      </c>
      <c r="V26" s="8">
        <v>1.04812736473192</v>
      </c>
    </row>
    <row r="27">
      <c r="B27" s="4" t="s">
        <v>18</v>
      </c>
      <c r="C27" s="5">
        <v>0.954259869207039</v>
      </c>
      <c r="D27" s="5">
        <v>0.96018414530033</v>
      </c>
      <c r="E27" s="5">
        <v>0.900107472069679</v>
      </c>
      <c r="F27" s="5">
        <v>0.848353576646304</v>
      </c>
      <c r="G27" s="5">
        <v>0.884170690492344</v>
      </c>
      <c r="H27" s="5">
        <v>0.864353095558196</v>
      </c>
      <c r="I27" s="6">
        <v>2.77910669599498</v>
      </c>
      <c r="J27" s="6">
        <v>1.79490638330102</v>
      </c>
      <c r="K27" s="7">
        <v>17.6</v>
      </c>
      <c r="L27" s="7">
        <v>183.2</v>
      </c>
      <c r="M27" s="7">
        <v>115.4</v>
      </c>
      <c r="N27" s="7">
        <v>574.0</v>
      </c>
      <c r="O27" s="8">
        <v>0.00805805582286487</v>
      </c>
      <c r="P27" s="8">
        <v>0.00698431054405628</v>
      </c>
      <c r="Q27" s="8">
        <v>0.0183868886293114</v>
      </c>
      <c r="R27" s="8">
        <v>0.0171162895595708</v>
      </c>
      <c r="S27" s="8">
        <v>0.0182384437899896</v>
      </c>
      <c r="T27" s="8">
        <v>0.00950232778747685</v>
      </c>
      <c r="U27" s="8">
        <v>0.632299897791424</v>
      </c>
      <c r="V27" s="8">
        <v>0.514203636310949</v>
      </c>
    </row>
    <row r="28">
      <c r="B28" s="4" t="s">
        <v>19</v>
      </c>
      <c r="C28" s="5">
        <v>0.832931768572493</v>
      </c>
      <c r="D28" s="5">
        <v>0.538302398175737</v>
      </c>
      <c r="E28" s="5">
        <v>0.525499954453296</v>
      </c>
      <c r="F28" s="5">
        <v>0.504987430138674</v>
      </c>
      <c r="G28" s="5">
        <v>0.499769084621865</v>
      </c>
      <c r="H28" s="5">
        <v>0.467924384524254</v>
      </c>
      <c r="I28" s="6">
        <v>1.29789439274791</v>
      </c>
      <c r="J28" s="6">
        <v>15.4089287500027</v>
      </c>
      <c r="K28" s="7">
        <v>106.4</v>
      </c>
      <c r="L28" s="7">
        <v>573.6</v>
      </c>
      <c r="M28" s="7">
        <v>174.8</v>
      </c>
      <c r="N28" s="7">
        <v>565.8</v>
      </c>
      <c r="O28" s="8">
        <v>0.00589291015852144</v>
      </c>
      <c r="P28" s="8">
        <v>0.0651537113548682</v>
      </c>
      <c r="Q28" s="8">
        <v>0.0314346646774095</v>
      </c>
      <c r="R28" s="8">
        <v>0.0474435452122745</v>
      </c>
      <c r="S28" s="8">
        <v>0.0066321211938367</v>
      </c>
      <c r="T28" s="8">
        <v>0.00950642343354516</v>
      </c>
      <c r="U28" s="8">
        <v>0.452514224106592</v>
      </c>
      <c r="V28" s="8">
        <v>0.666483075372451</v>
      </c>
    </row>
    <row r="29">
      <c r="B29" s="4" t="s">
        <v>20</v>
      </c>
      <c r="C29" s="5">
        <v>0.870209149222731</v>
      </c>
      <c r="D29" s="5">
        <v>0.893962839453971</v>
      </c>
      <c r="E29" s="5">
        <v>0.810856938117615</v>
      </c>
      <c r="F29" s="5">
        <v>0.800200346350911</v>
      </c>
      <c r="G29" s="5">
        <v>0.835440998088607</v>
      </c>
      <c r="H29" s="5">
        <v>0.814128681691251</v>
      </c>
      <c r="I29" s="6">
        <v>8.36378017284284</v>
      </c>
      <c r="J29" s="6">
        <v>4.61530490488401</v>
      </c>
      <c r="K29" s="7">
        <v>284.8</v>
      </c>
      <c r="L29" s="7">
        <v>1097.6</v>
      </c>
      <c r="M29" s="7">
        <v>164.8</v>
      </c>
      <c r="N29" s="7">
        <v>618.6</v>
      </c>
      <c r="O29" s="8">
        <v>0.0172463030376309</v>
      </c>
      <c r="P29" s="8">
        <v>0.00490760537790278</v>
      </c>
      <c r="Q29" s="8">
        <v>0.0246395918750134</v>
      </c>
      <c r="R29" s="8">
        <v>0.0225116690895788</v>
      </c>
      <c r="S29" s="8">
        <v>0.0157388682530635</v>
      </c>
      <c r="T29" s="8">
        <v>0.0182818684578631</v>
      </c>
      <c r="U29" s="8">
        <v>2.06049992567248</v>
      </c>
      <c r="V29" s="8">
        <v>0.811178733805172</v>
      </c>
    </row>
    <row r="30">
      <c r="B30" s="4" t="s">
        <v>21</v>
      </c>
      <c r="C30" s="5">
        <v>0.823175425985637</v>
      </c>
      <c r="D30" s="5">
        <v>0.945234870506459</v>
      </c>
      <c r="E30" s="5">
        <v>0.93629347066964</v>
      </c>
      <c r="F30" s="5">
        <v>0.807527948693137</v>
      </c>
      <c r="G30" s="5">
        <v>0.86622988739468</v>
      </c>
      <c r="H30" s="5">
        <v>0.809466512092894</v>
      </c>
      <c r="I30" s="6">
        <v>0.966026575753219</v>
      </c>
      <c r="J30" s="6">
        <v>16.716430825683</v>
      </c>
      <c r="K30" s="7">
        <v>104.0</v>
      </c>
      <c r="L30" s="7">
        <v>40.8</v>
      </c>
      <c r="M30" s="7">
        <v>70.0</v>
      </c>
      <c r="N30" s="7">
        <v>189.4</v>
      </c>
      <c r="O30" s="8">
        <v>0.0638445106663263</v>
      </c>
      <c r="P30" s="8">
        <v>0.0490418402333313</v>
      </c>
      <c r="Q30" s="8">
        <v>0.0629145848376308</v>
      </c>
      <c r="R30" s="8">
        <v>0.0474860679464319</v>
      </c>
      <c r="S30" s="8">
        <v>0.0437307698789673</v>
      </c>
      <c r="T30" s="8">
        <v>0.0621206141831162</v>
      </c>
      <c r="U30" s="8">
        <v>0.33411179224268</v>
      </c>
      <c r="V30" s="8">
        <v>6.43008504055035</v>
      </c>
    </row>
    <row r="31">
      <c r="B31" s="4" t="s">
        <v>22</v>
      </c>
      <c r="C31" s="5">
        <v>0.562921005903406</v>
      </c>
      <c r="D31" s="5">
        <v>0.456205796474709</v>
      </c>
      <c r="E31" s="5">
        <v>0.472931587609014</v>
      </c>
      <c r="F31" s="5">
        <v>0.433614410656167</v>
      </c>
      <c r="G31" s="5">
        <v>0.467880766426144</v>
      </c>
      <c r="H31" s="5">
        <v>0.420105980701449</v>
      </c>
      <c r="I31" s="6">
        <v>9.59279822743402</v>
      </c>
      <c r="J31" s="6">
        <v>34.1151011822253</v>
      </c>
      <c r="K31" s="7">
        <v>363.2</v>
      </c>
      <c r="L31" s="7">
        <v>606.4</v>
      </c>
      <c r="M31" s="7">
        <v>107.8</v>
      </c>
      <c r="N31" s="7">
        <v>606.4</v>
      </c>
      <c r="O31" s="8">
        <v>0.00624313257050986</v>
      </c>
      <c r="P31" s="8">
        <v>0.038502873457116</v>
      </c>
      <c r="Q31" s="8">
        <v>0.0220416524454509</v>
      </c>
      <c r="R31" s="8">
        <v>0.0148969236145878</v>
      </c>
      <c r="S31" s="8">
        <v>0.00857272257042996</v>
      </c>
      <c r="T31" s="8">
        <v>0.0074115905886097</v>
      </c>
      <c r="U31" s="8">
        <v>0.928542781488864</v>
      </c>
      <c r="V31" s="8">
        <v>0.441860199478936</v>
      </c>
    </row>
    <row r="32">
      <c r="B32" s="4" t="s">
        <v>23</v>
      </c>
      <c r="C32" s="5">
        <v>0.851853169800859</v>
      </c>
      <c r="D32" s="5">
        <v>0.429057323840556</v>
      </c>
      <c r="E32" s="5">
        <v>0.47197229283073</v>
      </c>
      <c r="F32" s="5">
        <v>0.425926584900429</v>
      </c>
      <c r="G32" s="5">
        <v>0.5</v>
      </c>
      <c r="H32" s="5">
        <v>0.459996639510761</v>
      </c>
      <c r="I32" s="6">
        <v>0.0</v>
      </c>
      <c r="J32" s="6">
        <v>14.814683019914</v>
      </c>
      <c r="K32" s="7">
        <v>127.2</v>
      </c>
      <c r="L32" s="7">
        <v>731.2</v>
      </c>
      <c r="M32" s="7">
        <v>79.2</v>
      </c>
      <c r="N32" s="7">
        <v>768.8</v>
      </c>
      <c r="O32" s="8">
        <v>0.00488132436084362</v>
      </c>
      <c r="P32" s="8">
        <v>0.0693646622400133</v>
      </c>
      <c r="Q32" s="8">
        <v>0.0244726727647181</v>
      </c>
      <c r="R32" s="8">
        <v>0.00244066218042178</v>
      </c>
      <c r="S32" s="8">
        <v>0.0</v>
      </c>
      <c r="T32" s="8">
        <v>0.00142068738958472</v>
      </c>
      <c r="U32" s="8">
        <v>0.0</v>
      </c>
      <c r="V32" s="8">
        <v>0.48813243608436</v>
      </c>
    </row>
    <row r="33">
      <c r="B33" s="4" t="s">
        <v>24</v>
      </c>
      <c r="C33" s="5">
        <v>0.936264297838639</v>
      </c>
      <c r="D33" s="5">
        <v>0.853612878376874</v>
      </c>
      <c r="E33" s="5">
        <v>0.696529855648246</v>
      </c>
      <c r="F33" s="5">
        <v>0.468132148919319</v>
      </c>
      <c r="G33" s="5">
        <v>0.5</v>
      </c>
      <c r="H33" s="5">
        <v>0.483531299749648</v>
      </c>
      <c r="I33" s="6">
        <v>0.0</v>
      </c>
      <c r="J33" s="6">
        <v>6.37357021613604</v>
      </c>
      <c r="K33" s="7">
        <v>25.6</v>
      </c>
      <c r="L33" s="7">
        <v>375.2</v>
      </c>
      <c r="M33" s="7">
        <v>128.4</v>
      </c>
      <c r="N33" s="7">
        <v>327.0</v>
      </c>
      <c r="O33" s="8">
        <v>0.00864450601757729</v>
      </c>
      <c r="P33" s="8">
        <v>0.0632683350833947</v>
      </c>
      <c r="Q33" s="8">
        <v>0.0622819490989459</v>
      </c>
      <c r="R33" s="8">
        <v>0.00432225300878865</v>
      </c>
      <c r="S33" s="8">
        <v>0.0</v>
      </c>
      <c r="T33" s="8">
        <v>0.00230265048666785</v>
      </c>
      <c r="U33" s="8">
        <v>0.0</v>
      </c>
      <c r="V33" s="8">
        <v>0.864450601757729</v>
      </c>
    </row>
    <row r="34">
      <c r="B34" s="4" t="s">
        <v>25</v>
      </c>
      <c r="C34" s="5">
        <v>0.826297107199116</v>
      </c>
      <c r="D34" s="5">
        <v>0.893698080522333</v>
      </c>
      <c r="E34" s="5">
        <v>0.880329219552998</v>
      </c>
      <c r="F34" s="5">
        <v>0.831199880502178</v>
      </c>
      <c r="G34" s="5">
        <v>0.830847385028128</v>
      </c>
      <c r="H34" s="5">
        <v>0.826212297489441</v>
      </c>
      <c r="I34" s="6">
        <v>4.98065030931879</v>
      </c>
      <c r="J34" s="6">
        <v>12.3896389707696</v>
      </c>
      <c r="K34" s="7">
        <v>451.2</v>
      </c>
      <c r="L34" s="7">
        <v>388.0</v>
      </c>
      <c r="M34" s="7">
        <v>400.8</v>
      </c>
      <c r="N34" s="7">
        <v>447.2</v>
      </c>
      <c r="O34" s="8">
        <v>0.0111123441977618</v>
      </c>
      <c r="P34" s="8">
        <v>0.0146373282863639</v>
      </c>
      <c r="Q34" s="8">
        <v>0.0191629640340006</v>
      </c>
      <c r="R34" s="8">
        <v>0.00918833951215047</v>
      </c>
      <c r="S34" s="8">
        <v>0.0104153506991361</v>
      </c>
      <c r="T34" s="8">
        <v>0.0110794579790336</v>
      </c>
      <c r="U34" s="8">
        <v>0.628234331518283</v>
      </c>
      <c r="V34" s="8">
        <v>1.33057062616712</v>
      </c>
    </row>
    <row r="35">
      <c r="B35" s="4" t="s">
        <v>26</v>
      </c>
      <c r="C35" s="5">
        <v>0.328753245547779</v>
      </c>
      <c r="D35" s="5">
        <v>0.605620685783323</v>
      </c>
      <c r="E35" s="5">
        <v>0.593828359163569</v>
      </c>
      <c r="F35" s="5">
        <v>0.518742623291654</v>
      </c>
      <c r="G35" s="5">
        <v>0.510453395255533</v>
      </c>
      <c r="H35" s="5">
        <v>0.266803175819846</v>
      </c>
      <c r="I35" s="6">
        <v>0.222884670608162</v>
      </c>
      <c r="J35" s="6">
        <v>66.9017907746139</v>
      </c>
      <c r="K35" s="7">
        <v>489.6</v>
      </c>
      <c r="L35" s="7">
        <v>221.6</v>
      </c>
      <c r="M35" s="7">
        <v>328.0</v>
      </c>
      <c r="N35" s="7">
        <v>382.8</v>
      </c>
      <c r="O35" s="8">
        <v>0.00897640481911793</v>
      </c>
      <c r="P35" s="8">
        <v>0.0656953089143772</v>
      </c>
      <c r="Q35" s="8">
        <v>0.0534486764536762</v>
      </c>
      <c r="R35" s="8">
        <v>0.182222756589011</v>
      </c>
      <c r="S35" s="8">
        <v>0.00622246480750227</v>
      </c>
      <c r="T35" s="8">
        <v>0.0147741526684862</v>
      </c>
      <c r="U35" s="8">
        <v>0.207054660895875</v>
      </c>
      <c r="V35" s="8">
        <v>1.00506847958264</v>
      </c>
    </row>
    <row r="36">
      <c r="B36" s="4" t="s">
        <v>27</v>
      </c>
      <c r="C36" s="5">
        <v>0.695017621679763</v>
      </c>
      <c r="D36" s="5">
        <v>0.8485126810623</v>
      </c>
      <c r="E36" s="5">
        <v>0.828856903041641</v>
      </c>
      <c r="F36" s="5">
        <v>0.752499170327274</v>
      </c>
      <c r="G36" s="5">
        <v>0.663265776725775</v>
      </c>
      <c r="H36" s="5">
        <v>0.649651761386394</v>
      </c>
      <c r="I36" s="6">
        <v>3.25491676100377</v>
      </c>
      <c r="J36" s="6">
        <v>27.2433210710198</v>
      </c>
      <c r="K36" s="7">
        <v>208.8</v>
      </c>
      <c r="L36" s="7">
        <v>263.2</v>
      </c>
      <c r="M36" s="7">
        <v>182.8</v>
      </c>
      <c r="N36" s="7">
        <v>512.6</v>
      </c>
      <c r="O36" s="8">
        <v>0.0220568086374123</v>
      </c>
      <c r="P36" s="8">
        <v>0.0198875167252504</v>
      </c>
      <c r="Q36" s="8">
        <v>0.0212095689717529</v>
      </c>
      <c r="R36" s="8">
        <v>0.0168369188496398</v>
      </c>
      <c r="S36" s="8">
        <v>0.0230340259676666</v>
      </c>
      <c r="T36" s="8">
        <v>0.0340778808553358</v>
      </c>
      <c r="U36" s="8">
        <v>1.29136674458647</v>
      </c>
      <c r="V36" s="8">
        <v>3.13081203837264</v>
      </c>
    </row>
    <row r="37">
      <c r="B37" s="4" t="s">
        <v>28</v>
      </c>
      <c r="C37" s="5">
        <v>0.359039343451135</v>
      </c>
      <c r="D37" s="5">
        <v>0.610774796272144</v>
      </c>
      <c r="E37" s="5">
        <v>0.607365854034002</v>
      </c>
      <c r="F37" s="5">
        <v>0.616632197311672</v>
      </c>
      <c r="G37" s="5">
        <v>0.515755970028471</v>
      </c>
      <c r="H37" s="5">
        <v>0.290301407346458</v>
      </c>
      <c r="I37" s="6">
        <v>0.184476615799632</v>
      </c>
      <c r="J37" s="6">
        <v>63.9115890390868</v>
      </c>
      <c r="K37" s="7">
        <v>497.6</v>
      </c>
      <c r="L37" s="7">
        <v>252.0</v>
      </c>
      <c r="M37" s="7">
        <v>535.8</v>
      </c>
      <c r="N37" s="7">
        <v>312.2</v>
      </c>
      <c r="O37" s="8">
        <v>0.0129068159122385</v>
      </c>
      <c r="P37" s="8">
        <v>0.0757855871590692</v>
      </c>
      <c r="Q37" s="8">
        <v>0.0789362875404488</v>
      </c>
      <c r="R37" s="8">
        <v>0.0583428952764434</v>
      </c>
      <c r="S37" s="8">
        <v>0.0110122984235518</v>
      </c>
      <c r="T37" s="8">
        <v>0.0243544411758304</v>
      </c>
      <c r="U37" s="8">
        <v>0.176586079890977</v>
      </c>
      <c r="V37" s="8">
        <v>1.42161007765914</v>
      </c>
    </row>
    <row r="38">
      <c r="B38" s="4" t="s">
        <v>29</v>
      </c>
      <c r="C38" s="5">
        <v>0.675801800426492</v>
      </c>
      <c r="D38" s="5">
        <v>0.717771260117472</v>
      </c>
      <c r="E38" s="5">
        <v>0.676211760436003</v>
      </c>
      <c r="F38" s="5">
        <v>0.6533907717578</v>
      </c>
      <c r="G38" s="5">
        <v>0.634807524178954</v>
      </c>
      <c r="H38" s="5">
        <v>0.637274170341471</v>
      </c>
      <c r="I38" s="6">
        <v>11.8569087782941</v>
      </c>
      <c r="J38" s="6">
        <v>20.5629111790566</v>
      </c>
      <c r="K38" s="7">
        <v>246.4</v>
      </c>
      <c r="L38" s="7">
        <v>399.2</v>
      </c>
      <c r="M38" s="7">
        <v>182.2</v>
      </c>
      <c r="N38" s="7">
        <v>577.4</v>
      </c>
      <c r="O38" s="8">
        <v>0.0145711959029241</v>
      </c>
      <c r="P38" s="8">
        <v>0.0112113981000233</v>
      </c>
      <c r="Q38" s="8">
        <v>0.0147768528579128</v>
      </c>
      <c r="R38" s="8">
        <v>0.0174939262323995</v>
      </c>
      <c r="S38" s="8">
        <v>0.0187388638506905</v>
      </c>
      <c r="T38" s="8">
        <v>0.01955125599884</v>
      </c>
      <c r="U38" s="8">
        <v>1.42689433240237</v>
      </c>
      <c r="V38" s="8">
        <v>1.87009709100336</v>
      </c>
    </row>
    <row r="39">
      <c r="B39" s="4" t="s">
        <v>30</v>
      </c>
      <c r="C39" s="5">
        <v>0.910700797183025</v>
      </c>
      <c r="D39" s="5">
        <v>0.930015546372108</v>
      </c>
      <c r="E39" s="5">
        <v>0.916512148432842</v>
      </c>
      <c r="F39" s="5">
        <v>0.903758812907536</v>
      </c>
      <c r="G39" s="5">
        <v>0.90219117374371</v>
      </c>
      <c r="H39" s="5">
        <v>0.902772318171834</v>
      </c>
      <c r="I39" s="6">
        <v>4.33946476953938</v>
      </c>
      <c r="J39" s="6">
        <v>4.59045551215809</v>
      </c>
      <c r="K39" s="7">
        <v>167.2</v>
      </c>
      <c r="L39" s="7">
        <v>298.4</v>
      </c>
      <c r="M39" s="7">
        <v>272.8</v>
      </c>
      <c r="N39" s="7">
        <v>486.2</v>
      </c>
      <c r="O39" s="8">
        <v>0.00313255858074076</v>
      </c>
      <c r="P39" s="8">
        <v>0.0069358212859377</v>
      </c>
      <c r="Q39" s="8">
        <v>0.0126001093414015</v>
      </c>
      <c r="R39" s="8">
        <v>0.00447730939399781</v>
      </c>
      <c r="S39" s="8">
        <v>0.00594648224013612</v>
      </c>
      <c r="T39" s="8">
        <v>0.00409524386858964</v>
      </c>
      <c r="U39" s="8">
        <v>0.662075562818223</v>
      </c>
      <c r="V39" s="8">
        <v>0.67247669270034</v>
      </c>
    </row>
    <row r="40">
      <c r="B40" s="4" t="s">
        <v>31</v>
      </c>
      <c r="C40" s="5">
        <f t="shared" ref="C40:V40" si="3">MEDIAN(C4:C39)</f>
        <v>0.8247362666</v>
      </c>
      <c r="D40" s="5">
        <f t="shared" si="3"/>
        <v>0.7848760234</v>
      </c>
      <c r="E40" s="5">
        <f t="shared" si="3"/>
        <v>0.7272278822</v>
      </c>
      <c r="F40" s="5">
        <f t="shared" si="3"/>
        <v>0.6700566786</v>
      </c>
      <c r="G40" s="5">
        <f t="shared" si="3"/>
        <v>0.6612655936</v>
      </c>
      <c r="H40" s="5">
        <f t="shared" si="3"/>
        <v>0.645623138</v>
      </c>
      <c r="I40" s="6">
        <f t="shared" si="3"/>
        <v>5.510300355</v>
      </c>
      <c r="J40" s="6">
        <f t="shared" si="3"/>
        <v>11.7711943</v>
      </c>
      <c r="K40" s="9">
        <f t="shared" si="3"/>
        <v>198.4</v>
      </c>
      <c r="L40" s="9">
        <f t="shared" si="3"/>
        <v>384.8</v>
      </c>
      <c r="M40" s="9">
        <f t="shared" si="3"/>
        <v>183.9</v>
      </c>
      <c r="N40" s="9">
        <f t="shared" si="3"/>
        <v>476.6</v>
      </c>
      <c r="O40" s="8">
        <f t="shared" si="3"/>
        <v>0.006953380388</v>
      </c>
      <c r="P40" s="8">
        <f t="shared" si="3"/>
        <v>0.01191708017</v>
      </c>
      <c r="Q40" s="8">
        <f t="shared" si="3"/>
        <v>0.0136884811</v>
      </c>
      <c r="R40" s="8">
        <f t="shared" si="3"/>
        <v>0.01010552088</v>
      </c>
      <c r="S40" s="8">
        <f t="shared" si="3"/>
        <v>0.008094616337</v>
      </c>
      <c r="T40" s="8">
        <f t="shared" si="3"/>
        <v>0.00844081958</v>
      </c>
      <c r="U40" s="8">
        <f t="shared" si="3"/>
        <v>0.3591497112</v>
      </c>
      <c r="V40" s="8">
        <f t="shared" si="3"/>
        <v>0.5619023034</v>
      </c>
    </row>
    <row r="41">
      <c r="B41" s="4" t="s">
        <v>32</v>
      </c>
      <c r="C41" s="5">
        <f t="shared" ref="C41:V41" si="4">AVERAGE(C24:C39)</f>
        <v>0.7596998033</v>
      </c>
      <c r="D41" s="5">
        <f t="shared" si="4"/>
        <v>0.7555007992</v>
      </c>
      <c r="E41" s="5">
        <f t="shared" si="4"/>
        <v>0.7213642948</v>
      </c>
      <c r="F41" s="5">
        <f t="shared" si="4"/>
        <v>0.6717354976</v>
      </c>
      <c r="G41" s="5">
        <f t="shared" si="4"/>
        <v>0.6768485674</v>
      </c>
      <c r="H41" s="5">
        <f t="shared" si="4"/>
        <v>0.6304402299</v>
      </c>
      <c r="I41" s="6">
        <f t="shared" si="4"/>
        <v>4.390905873</v>
      </c>
      <c r="J41" s="6">
        <f t="shared" si="4"/>
        <v>19.6391138</v>
      </c>
      <c r="K41" s="9">
        <f t="shared" si="4"/>
        <v>230.7</v>
      </c>
      <c r="L41" s="9">
        <f t="shared" si="4"/>
        <v>423.35</v>
      </c>
      <c r="M41" s="9">
        <f t="shared" si="4"/>
        <v>227.1</v>
      </c>
      <c r="N41" s="9">
        <f t="shared" si="4"/>
        <v>482.15</v>
      </c>
      <c r="O41" s="8">
        <f t="shared" si="4"/>
        <v>0.01466050255</v>
      </c>
      <c r="P41" s="8">
        <f t="shared" si="4"/>
        <v>0.03496087038</v>
      </c>
      <c r="Q41" s="8">
        <f t="shared" si="4"/>
        <v>0.03079959546</v>
      </c>
      <c r="R41" s="8">
        <f t="shared" si="4"/>
        <v>0.03181545997</v>
      </c>
      <c r="S41" s="8">
        <f t="shared" si="4"/>
        <v>0.01413284092</v>
      </c>
      <c r="T41" s="8">
        <f t="shared" si="4"/>
        <v>0.01718547482</v>
      </c>
      <c r="U41" s="8">
        <f t="shared" si="4"/>
        <v>0.7922746318</v>
      </c>
      <c r="V41" s="8">
        <f t="shared" si="4"/>
        <v>1.4689231</v>
      </c>
    </row>
    <row r="42">
      <c r="B42" s="1" t="s">
        <v>34</v>
      </c>
      <c r="O42" s="2" t="s">
        <v>1</v>
      </c>
    </row>
    <row r="43"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3" t="s">
        <v>9</v>
      </c>
      <c r="J43" s="3" t="s">
        <v>10</v>
      </c>
      <c r="K43" s="3" t="s">
        <v>11</v>
      </c>
      <c r="L43" s="3" t="s">
        <v>12</v>
      </c>
      <c r="M43" s="3" t="s">
        <v>13</v>
      </c>
      <c r="N43" s="3" t="s">
        <v>14</v>
      </c>
      <c r="O43" s="3" t="s">
        <v>3</v>
      </c>
      <c r="P43" s="3" t="s">
        <v>4</v>
      </c>
      <c r="Q43" s="3" t="s">
        <v>5</v>
      </c>
      <c r="R43" s="3" t="s">
        <v>6</v>
      </c>
      <c r="S43" s="3" t="s">
        <v>7</v>
      </c>
      <c r="T43" s="3" t="s">
        <v>8</v>
      </c>
      <c r="U43" s="3" t="s">
        <v>9</v>
      </c>
      <c r="V43" s="3" t="s">
        <v>10</v>
      </c>
    </row>
    <row r="44">
      <c r="B44" s="4" t="s">
        <v>15</v>
      </c>
      <c r="C44" s="5">
        <v>0.819279915034291</v>
      </c>
      <c r="D44" s="5">
        <v>0.910719631724772</v>
      </c>
      <c r="E44" s="5">
        <v>0.888339367919164</v>
      </c>
      <c r="F44" s="5">
        <v>0.824993798483757</v>
      </c>
      <c r="G44" s="5">
        <v>0.788760814388205</v>
      </c>
      <c r="H44" s="5">
        <v>0.795407405614678</v>
      </c>
      <c r="I44" s="6">
        <v>12.3775853810074</v>
      </c>
      <c r="J44" s="6">
        <v>5.69442311556345</v>
      </c>
      <c r="K44" s="7">
        <v>429.6</v>
      </c>
      <c r="L44" s="7">
        <v>256.0</v>
      </c>
      <c r="M44" s="7">
        <v>454.333333333333</v>
      </c>
      <c r="N44" s="7">
        <v>195.333333333333</v>
      </c>
      <c r="O44" s="8">
        <v>0.0278034088979777</v>
      </c>
      <c r="P44" s="8">
        <v>0.00731743954431625</v>
      </c>
      <c r="Q44" s="8">
        <v>0.0109604648096693</v>
      </c>
      <c r="R44" s="8">
        <v>0.017291853695229</v>
      </c>
      <c r="S44" s="8">
        <v>0.047431254589664</v>
      </c>
      <c r="T44" s="8">
        <v>0.041751268473302</v>
      </c>
      <c r="U44" s="8">
        <v>4.82490956281739</v>
      </c>
      <c r="V44" s="8">
        <v>2.47518608208483</v>
      </c>
    </row>
    <row r="45">
      <c r="B45" s="4" t="s">
        <v>16</v>
      </c>
      <c r="C45" s="5">
        <v>0.89809603927173</v>
      </c>
      <c r="D45" s="5">
        <v>0.802987227524344</v>
      </c>
      <c r="E45" s="5">
        <v>0.681886437616712</v>
      </c>
      <c r="F45" s="5">
        <v>0.719039324347698</v>
      </c>
      <c r="G45" s="5">
        <v>0.670850099942242</v>
      </c>
      <c r="H45" s="5">
        <v>0.688531797700213</v>
      </c>
      <c r="I45" s="6">
        <v>3.91374721243426</v>
      </c>
      <c r="J45" s="6">
        <v>6.27664886039264</v>
      </c>
      <c r="K45" s="7">
        <v>67.2</v>
      </c>
      <c r="L45" s="7">
        <v>592.8</v>
      </c>
      <c r="M45" s="7">
        <v>92.3333333333333</v>
      </c>
      <c r="N45" s="7">
        <v>356.0</v>
      </c>
      <c r="O45" s="8">
        <v>0.00793584467533214</v>
      </c>
      <c r="P45" s="8">
        <v>0.042568106159197</v>
      </c>
      <c r="Q45" s="8">
        <v>0.0289104897441679</v>
      </c>
      <c r="R45" s="8">
        <v>0.0281551726723505</v>
      </c>
      <c r="S45" s="8">
        <v>0.0286128799546894</v>
      </c>
      <c r="T45" s="8">
        <v>0.0210578362713009</v>
      </c>
      <c r="U45" s="8">
        <v>0.977718421693531</v>
      </c>
      <c r="V45" s="8">
        <v>0.799818039954664</v>
      </c>
    </row>
    <row r="46">
      <c r="B46" s="4" t="s">
        <v>17</v>
      </c>
      <c r="C46" s="5">
        <v>0.867535774815776</v>
      </c>
      <c r="D46" s="5">
        <v>0.844532687149072</v>
      </c>
      <c r="E46" s="5">
        <v>0.779435544531042</v>
      </c>
      <c r="F46" s="5">
        <v>0.772868401531045</v>
      </c>
      <c r="G46" s="5">
        <v>0.776808289965504</v>
      </c>
      <c r="H46" s="5">
        <v>0.772624754384326</v>
      </c>
      <c r="I46" s="6">
        <v>6.84013208368148</v>
      </c>
      <c r="J46" s="6">
        <v>6.40629043474089</v>
      </c>
      <c r="K46" s="7">
        <v>104.8</v>
      </c>
      <c r="L46" s="7">
        <v>494.4</v>
      </c>
      <c r="M46" s="7">
        <v>148.0</v>
      </c>
      <c r="N46" s="7">
        <v>368.0</v>
      </c>
      <c r="O46" s="8">
        <v>0.0186194929015098</v>
      </c>
      <c r="P46" s="8">
        <v>0.0494868052000142</v>
      </c>
      <c r="Q46" s="8">
        <v>0.0438626776694167</v>
      </c>
      <c r="R46" s="8">
        <v>0.024498360793554</v>
      </c>
      <c r="S46" s="8">
        <v>0.0377368327864889</v>
      </c>
      <c r="T46" s="8">
        <v>0.0281141444623603</v>
      </c>
      <c r="U46" s="8">
        <v>1.86122563461379</v>
      </c>
      <c r="V46" s="8">
        <v>1.7342222693247</v>
      </c>
    </row>
    <row r="47">
      <c r="B47" s="4" t="s">
        <v>18</v>
      </c>
      <c r="C47" s="5">
        <v>0.957235257003792</v>
      </c>
      <c r="D47" s="5">
        <v>0.961520770738795</v>
      </c>
      <c r="E47" s="5">
        <v>0.903836359778844</v>
      </c>
      <c r="F47" s="5">
        <v>0.855804843634883</v>
      </c>
      <c r="G47" s="5">
        <v>0.907809074189551</v>
      </c>
      <c r="H47" s="5">
        <v>0.875618097914812</v>
      </c>
      <c r="I47" s="6">
        <v>2.88096063138852</v>
      </c>
      <c r="J47" s="6">
        <v>1.39551366823226</v>
      </c>
      <c r="K47" s="7">
        <v>17.6</v>
      </c>
      <c r="L47" s="7">
        <v>183.2</v>
      </c>
      <c r="M47" s="7">
        <v>98.6666666666666</v>
      </c>
      <c r="N47" s="7">
        <v>264.0</v>
      </c>
      <c r="O47" s="8">
        <v>0.00840356828433785</v>
      </c>
      <c r="P47" s="8">
        <v>0.0178544349148885</v>
      </c>
      <c r="Q47" s="8">
        <v>0.0311210713928317</v>
      </c>
      <c r="R47" s="8">
        <v>0.0455863688878153</v>
      </c>
      <c r="S47" s="8">
        <v>0.0246208034513663</v>
      </c>
      <c r="T47" s="8">
        <v>0.0224514083640729</v>
      </c>
      <c r="U47" s="8">
        <v>1.23131767853766</v>
      </c>
      <c r="V47" s="8">
        <v>0.661174631398262</v>
      </c>
    </row>
    <row r="48">
      <c r="B48" s="4" t="s">
        <v>19</v>
      </c>
      <c r="C48" s="5">
        <v>0.839998928198255</v>
      </c>
      <c r="D48" s="5">
        <v>0.732167389334553</v>
      </c>
      <c r="E48" s="5">
        <v>0.634814432003952</v>
      </c>
      <c r="F48" s="5">
        <v>0.637944628750972</v>
      </c>
      <c r="G48" s="5">
        <v>0.535514953552228</v>
      </c>
      <c r="H48" s="5">
        <v>0.528345131166277</v>
      </c>
      <c r="I48" s="6">
        <v>1.76867540226891</v>
      </c>
      <c r="J48" s="6">
        <v>14.2314317779055</v>
      </c>
      <c r="K48" s="7">
        <v>106.4</v>
      </c>
      <c r="L48" s="7">
        <v>573.6</v>
      </c>
      <c r="M48" s="7">
        <v>85.3333333333333</v>
      </c>
      <c r="N48" s="7">
        <v>478.333333333333</v>
      </c>
      <c r="O48" s="8">
        <v>0.00742816476170406</v>
      </c>
      <c r="P48" s="8">
        <v>0.0364127015871732</v>
      </c>
      <c r="Q48" s="8">
        <v>0.0284529454706547</v>
      </c>
      <c r="R48" s="8">
        <v>0.0736174981422178</v>
      </c>
      <c r="S48" s="8">
        <v>0.0260878065412358</v>
      </c>
      <c r="T48" s="8">
        <v>0.043677516191345</v>
      </c>
      <c r="U48" s="8">
        <v>0.918935100815702</v>
      </c>
      <c r="V48" s="8">
        <v>1.40053680598368</v>
      </c>
    </row>
    <row r="49">
      <c r="B49" s="4" t="s">
        <v>20</v>
      </c>
      <c r="C49" s="5">
        <v>0.892953996684793</v>
      </c>
      <c r="D49" s="5">
        <v>0.91380440455363</v>
      </c>
      <c r="E49" s="5">
        <v>0.857860784087873</v>
      </c>
      <c r="F49" s="5">
        <v>0.836208442001557</v>
      </c>
      <c r="G49" s="5">
        <v>0.839935070143853</v>
      </c>
      <c r="H49" s="5">
        <v>0.837359013951092</v>
      </c>
      <c r="I49" s="6">
        <v>5.54064265331634</v>
      </c>
      <c r="J49" s="6">
        <v>5.16395767820426</v>
      </c>
      <c r="K49" s="7">
        <v>284.8</v>
      </c>
      <c r="L49" s="7">
        <v>1097.6</v>
      </c>
      <c r="M49" s="7">
        <v>199.333333333333</v>
      </c>
      <c r="N49" s="7">
        <v>558.333333333333</v>
      </c>
      <c r="O49" s="8">
        <v>0.00735047695993643</v>
      </c>
      <c r="P49" s="8">
        <v>0.00904063851180237</v>
      </c>
      <c r="Q49" s="8">
        <v>0.0113402307334465</v>
      </c>
      <c r="R49" s="8">
        <v>0.0128469448020959</v>
      </c>
      <c r="S49" s="8">
        <v>0.0175657402541285</v>
      </c>
      <c r="T49" s="8">
        <v>0.0116978526227733</v>
      </c>
      <c r="U49" s="8">
        <v>0.992750047946622</v>
      </c>
      <c r="V49" s="8">
        <v>0.907061102008007</v>
      </c>
    </row>
    <row r="50">
      <c r="B50" s="4" t="s">
        <v>21</v>
      </c>
      <c r="C50" s="5">
        <v>0.965271172632861</v>
      </c>
      <c r="D50" s="5">
        <v>0.980680576675211</v>
      </c>
      <c r="E50" s="5">
        <v>0.98002495109883</v>
      </c>
      <c r="F50" s="5">
        <v>0.949839636148056</v>
      </c>
      <c r="G50" s="5">
        <v>0.968627960865569</v>
      </c>
      <c r="H50" s="5">
        <v>0.958223107626456</v>
      </c>
      <c r="I50" s="6">
        <v>0.690164506787702</v>
      </c>
      <c r="J50" s="6">
        <v>2.78271822992613</v>
      </c>
      <c r="K50" s="7">
        <v>104.0</v>
      </c>
      <c r="L50" s="7">
        <v>40.8</v>
      </c>
      <c r="M50" s="7">
        <v>98.0</v>
      </c>
      <c r="N50" s="7">
        <v>194.333333333333</v>
      </c>
      <c r="O50" s="8">
        <v>0.0131897822760582</v>
      </c>
      <c r="P50" s="8">
        <v>0.0102198186894441</v>
      </c>
      <c r="Q50" s="8">
        <v>0.0113241113288468</v>
      </c>
      <c r="R50" s="8">
        <v>0.0189849317208071</v>
      </c>
      <c r="S50" s="8">
        <v>0.0112096671032834</v>
      </c>
      <c r="T50" s="8">
        <v>0.0152546145312572</v>
      </c>
      <c r="U50" s="8">
        <v>0.433603024525793</v>
      </c>
      <c r="V50" s="8">
        <v>1.30852262903713</v>
      </c>
    </row>
    <row r="51">
      <c r="B51" s="4" t="s">
        <v>22</v>
      </c>
      <c r="C51" s="5">
        <v>0.637570663194498</v>
      </c>
      <c r="D51" s="5">
        <v>0.600813708554952</v>
      </c>
      <c r="E51" s="5">
        <v>0.58487552800879</v>
      </c>
      <c r="F51" s="5">
        <v>0.592958776312508</v>
      </c>
      <c r="G51" s="5">
        <v>0.566060435163524</v>
      </c>
      <c r="H51" s="5">
        <v>0.552543670563321</v>
      </c>
      <c r="I51" s="6">
        <v>9.33220084948798</v>
      </c>
      <c r="J51" s="6">
        <v>26.9107328310621</v>
      </c>
      <c r="K51" s="7">
        <v>363.2</v>
      </c>
      <c r="L51" s="7">
        <v>606.4</v>
      </c>
      <c r="M51" s="7">
        <v>175.0</v>
      </c>
      <c r="N51" s="7">
        <v>426.666666666666</v>
      </c>
      <c r="O51" s="8">
        <v>0.0464880003730577</v>
      </c>
      <c r="P51" s="8">
        <v>0.082382369248411</v>
      </c>
      <c r="Q51" s="8">
        <v>0.0563143993748496</v>
      </c>
      <c r="R51" s="8">
        <v>0.0621039166815388</v>
      </c>
      <c r="S51" s="8">
        <v>0.0586145059562313</v>
      </c>
      <c r="T51" s="8">
        <v>0.067649040632923</v>
      </c>
      <c r="U51" s="8">
        <v>2.34208418868838</v>
      </c>
      <c r="V51" s="8">
        <v>4.42257950983551</v>
      </c>
    </row>
    <row r="52">
      <c r="B52" s="4" t="s">
        <v>23</v>
      </c>
      <c r="C52" s="5">
        <v>0.851853169800859</v>
      </c>
      <c r="D52" s="5">
        <v>0.396505738888956</v>
      </c>
      <c r="E52" s="5">
        <v>0.475767761596273</v>
      </c>
      <c r="F52" s="5">
        <v>0.425926584900429</v>
      </c>
      <c r="G52" s="5">
        <v>0.5</v>
      </c>
      <c r="H52" s="5">
        <v>0.459996639510761</v>
      </c>
      <c r="I52" s="6">
        <v>0.0</v>
      </c>
      <c r="J52" s="6">
        <v>14.814683019914</v>
      </c>
      <c r="K52" s="7">
        <v>127.2</v>
      </c>
      <c r="L52" s="7">
        <v>731.2</v>
      </c>
      <c r="M52" s="7">
        <v>76.3333333333333</v>
      </c>
      <c r="N52" s="7">
        <v>613.333333333333</v>
      </c>
      <c r="O52" s="8">
        <v>0.00488132436084362</v>
      </c>
      <c r="P52" s="8">
        <v>0.0827001999694923</v>
      </c>
      <c r="Q52" s="8">
        <v>0.0271371096816052</v>
      </c>
      <c r="R52" s="8">
        <v>0.00244066218042178</v>
      </c>
      <c r="S52" s="8">
        <v>0.0</v>
      </c>
      <c r="T52" s="8">
        <v>0.00142068738958472</v>
      </c>
      <c r="U52" s="8">
        <v>0.0</v>
      </c>
      <c r="V52" s="8">
        <v>0.48813243608436</v>
      </c>
    </row>
    <row r="53">
      <c r="B53" s="4" t="s">
        <v>24</v>
      </c>
      <c r="C53" s="5">
        <v>0.936264297838639</v>
      </c>
      <c r="D53" s="5">
        <v>0.793692890366424</v>
      </c>
      <c r="E53" s="5">
        <v>0.662865242658485</v>
      </c>
      <c r="F53" s="5">
        <v>0.468132148919319</v>
      </c>
      <c r="G53" s="5">
        <v>0.5</v>
      </c>
      <c r="H53" s="5">
        <v>0.483531299749648</v>
      </c>
      <c r="I53" s="6">
        <v>0.0</v>
      </c>
      <c r="J53" s="6">
        <v>6.37357021613604</v>
      </c>
      <c r="K53" s="7">
        <v>25.6</v>
      </c>
      <c r="L53" s="7">
        <v>375.2</v>
      </c>
      <c r="M53" s="7">
        <v>137.0</v>
      </c>
      <c r="N53" s="7">
        <v>421.333333333333</v>
      </c>
      <c r="O53" s="8">
        <v>0.00864450601757729</v>
      </c>
      <c r="P53" s="8">
        <v>0.131439347114639</v>
      </c>
      <c r="Q53" s="8">
        <v>0.0696001190772735</v>
      </c>
      <c r="R53" s="8">
        <v>0.00432225300878865</v>
      </c>
      <c r="S53" s="8">
        <v>0.0</v>
      </c>
      <c r="T53" s="8">
        <v>0.00230265048666785</v>
      </c>
      <c r="U53" s="8">
        <v>0.0</v>
      </c>
      <c r="V53" s="8">
        <v>0.864450601757729</v>
      </c>
    </row>
    <row r="54">
      <c r="B54" s="4" t="s">
        <v>25</v>
      </c>
      <c r="C54" s="5">
        <v>0.884441697251738</v>
      </c>
      <c r="D54" s="5">
        <v>0.93912820225548</v>
      </c>
      <c r="E54" s="5">
        <v>0.931768210392983</v>
      </c>
      <c r="F54" s="5">
        <v>0.885988725689607</v>
      </c>
      <c r="G54" s="5">
        <v>0.88327850545843</v>
      </c>
      <c r="H54" s="5">
        <v>0.883569445874852</v>
      </c>
      <c r="I54" s="6">
        <v>6.07581177444091</v>
      </c>
      <c r="J54" s="6">
        <v>5.48001850038525</v>
      </c>
      <c r="K54" s="7">
        <v>451.2</v>
      </c>
      <c r="L54" s="7">
        <v>388.0</v>
      </c>
      <c r="M54" s="7">
        <v>345.666666666666</v>
      </c>
      <c r="N54" s="7">
        <v>337.0</v>
      </c>
      <c r="O54" s="8">
        <v>0.0175020237519247</v>
      </c>
      <c r="P54" s="8">
        <v>0.00332780224015247</v>
      </c>
      <c r="Q54" s="8">
        <v>0.0062351361719865</v>
      </c>
      <c r="R54" s="8">
        <v>0.017215993492903</v>
      </c>
      <c r="S54" s="8">
        <v>0.0155442606968866</v>
      </c>
      <c r="T54" s="8">
        <v>0.0172205881267623</v>
      </c>
      <c r="U54" s="8">
        <v>1.04745994122422</v>
      </c>
      <c r="V54" s="8">
        <v>2.5059459069324</v>
      </c>
    </row>
    <row r="55">
      <c r="B55" s="4" t="s">
        <v>26</v>
      </c>
      <c r="C55" s="5">
        <v>0.360443532397096</v>
      </c>
      <c r="D55" s="5">
        <v>0.678009717739164</v>
      </c>
      <c r="E55" s="5">
        <v>0.669143309117577</v>
      </c>
      <c r="F55" s="5">
        <v>0.593299883324314</v>
      </c>
      <c r="G55" s="5">
        <v>0.528669931922262</v>
      </c>
      <c r="H55" s="5">
        <v>0.317844211674608</v>
      </c>
      <c r="I55" s="6">
        <v>0.760983041434004</v>
      </c>
      <c r="J55" s="6">
        <v>63.1946637188563</v>
      </c>
      <c r="K55" s="7">
        <v>489.6</v>
      </c>
      <c r="L55" s="7">
        <v>221.6</v>
      </c>
      <c r="M55" s="7">
        <v>175.0</v>
      </c>
      <c r="N55" s="7">
        <v>336.0</v>
      </c>
      <c r="O55" s="8">
        <v>0.0281050395258893</v>
      </c>
      <c r="P55" s="8">
        <v>0.0998469111737331</v>
      </c>
      <c r="Q55" s="8">
        <v>0.0741536877069053</v>
      </c>
      <c r="R55" s="8">
        <v>0.0454821095014236</v>
      </c>
      <c r="S55" s="8">
        <v>0.0232631511765706</v>
      </c>
      <c r="T55" s="8">
        <v>0.0365433774374665</v>
      </c>
      <c r="U55" s="8">
        <v>0.49950035706606</v>
      </c>
      <c r="V55" s="8">
        <v>2.45908536174895</v>
      </c>
    </row>
    <row r="56">
      <c r="B56" s="4" t="s">
        <v>27</v>
      </c>
      <c r="C56" s="5">
        <v>0.74839105246306</v>
      </c>
      <c r="D56" s="5">
        <v>0.865493899065289</v>
      </c>
      <c r="E56" s="5">
        <v>0.847807144851946</v>
      </c>
      <c r="F56" s="5">
        <v>0.769997154186089</v>
      </c>
      <c r="G56" s="5">
        <v>0.728859104932965</v>
      </c>
      <c r="H56" s="5">
        <v>0.729467012896666</v>
      </c>
      <c r="I56" s="6">
        <v>5.54467590526934</v>
      </c>
      <c r="J56" s="6">
        <v>19.6162188484246</v>
      </c>
      <c r="K56" s="7">
        <v>208.8</v>
      </c>
      <c r="L56" s="7">
        <v>263.2</v>
      </c>
      <c r="M56" s="7">
        <v>156.333333333333</v>
      </c>
      <c r="N56" s="7">
        <v>285.333333333333</v>
      </c>
      <c r="O56" s="8">
        <v>0.0262454539276861</v>
      </c>
      <c r="P56" s="8">
        <v>0.0165828069236718</v>
      </c>
      <c r="Q56" s="8">
        <v>0.015848484428409</v>
      </c>
      <c r="R56" s="8">
        <v>0.0169795239733061</v>
      </c>
      <c r="S56" s="8">
        <v>0.0297147555766996</v>
      </c>
      <c r="T56" s="8">
        <v>0.0341932379375951</v>
      </c>
      <c r="U56" s="8">
        <v>1.43795748719679</v>
      </c>
      <c r="V56" s="8">
        <v>3.61667450043327</v>
      </c>
    </row>
    <row r="57">
      <c r="B57" s="4" t="s">
        <v>28</v>
      </c>
      <c r="C57" s="5">
        <v>0.424292599038429</v>
      </c>
      <c r="D57" s="5">
        <v>0.584539009745029</v>
      </c>
      <c r="E57" s="5">
        <v>0.580862718120688</v>
      </c>
      <c r="F57" s="5">
        <v>0.654779784151656</v>
      </c>
      <c r="G57" s="5">
        <v>0.561431717107056</v>
      </c>
      <c r="H57" s="5">
        <v>0.388464175673315</v>
      </c>
      <c r="I57" s="6">
        <v>0.673184170585032</v>
      </c>
      <c r="J57" s="6">
        <v>56.897555925572</v>
      </c>
      <c r="K57" s="7">
        <v>497.6</v>
      </c>
      <c r="L57" s="7">
        <v>252.0</v>
      </c>
      <c r="M57" s="7">
        <v>291.333333333333</v>
      </c>
      <c r="N57" s="7">
        <v>375.666666666666</v>
      </c>
      <c r="O57" s="8">
        <v>0.0345205009456911</v>
      </c>
      <c r="P57" s="8">
        <v>0.146196926983911</v>
      </c>
      <c r="Q57" s="8">
        <v>0.0804966428127505</v>
      </c>
      <c r="R57" s="8">
        <v>0.00984176880001446</v>
      </c>
      <c r="S57" s="8">
        <v>0.0228728829427747</v>
      </c>
      <c r="T57" s="8">
        <v>0.0503636128399974</v>
      </c>
      <c r="U57" s="8">
        <v>0.526793731584179</v>
      </c>
      <c r="V57" s="8">
        <v>3.87979316053909</v>
      </c>
    </row>
    <row r="58">
      <c r="B58" s="4" t="s">
        <v>29</v>
      </c>
      <c r="C58" s="5">
        <v>0.701152021314451</v>
      </c>
      <c r="D58" s="5">
        <v>0.755262270252146</v>
      </c>
      <c r="E58" s="5">
        <v>0.71898839108272</v>
      </c>
      <c r="F58" s="5">
        <v>0.685021151476888</v>
      </c>
      <c r="G58" s="5">
        <v>0.681291327013272</v>
      </c>
      <c r="H58" s="5">
        <v>0.680411412198498</v>
      </c>
      <c r="I58" s="6">
        <v>14.5827594034936</v>
      </c>
      <c r="J58" s="6">
        <v>15.3020384650612</v>
      </c>
      <c r="K58" s="7">
        <v>246.4</v>
      </c>
      <c r="L58" s="7">
        <v>399.2</v>
      </c>
      <c r="M58" s="7">
        <v>182.333333333333</v>
      </c>
      <c r="N58" s="7">
        <v>364.333333333333</v>
      </c>
      <c r="O58" s="8">
        <v>0.00882739831726747</v>
      </c>
      <c r="P58" s="8">
        <v>0.0168008602179903</v>
      </c>
      <c r="Q58" s="8">
        <v>0.0198357723026098</v>
      </c>
      <c r="R58" s="8">
        <v>0.0137456803541354</v>
      </c>
      <c r="S58" s="8">
        <v>0.0222789551058657</v>
      </c>
      <c r="T58" s="8">
        <v>0.0171598909080286</v>
      </c>
      <c r="U58" s="8">
        <v>2.67164569745348</v>
      </c>
      <c r="V58" s="8">
        <v>3.27070933616227</v>
      </c>
    </row>
    <row r="59">
      <c r="B59" s="4" t="s">
        <v>30</v>
      </c>
      <c r="C59" s="5">
        <v>0.918114954774761</v>
      </c>
      <c r="D59" s="5">
        <v>0.939880768192187</v>
      </c>
      <c r="E59" s="5">
        <v>0.930125109042183</v>
      </c>
      <c r="F59" s="5">
        <v>0.911662812351225</v>
      </c>
      <c r="G59" s="5">
        <v>0.911049334768536</v>
      </c>
      <c r="H59" s="5">
        <v>0.911109185198928</v>
      </c>
      <c r="I59" s="6">
        <v>4.10500850154844</v>
      </c>
      <c r="J59" s="6">
        <v>4.08349602097545</v>
      </c>
      <c r="K59" s="7">
        <v>167.2</v>
      </c>
      <c r="L59" s="7">
        <v>298.4</v>
      </c>
      <c r="M59" s="7">
        <v>190.333333333333</v>
      </c>
      <c r="N59" s="7">
        <v>317.333333333333</v>
      </c>
      <c r="O59" s="8">
        <v>0.0120980572248977</v>
      </c>
      <c r="P59" s="8">
        <v>0.0120524135419261</v>
      </c>
      <c r="Q59" s="8">
        <v>0.0139026939633304</v>
      </c>
      <c r="R59" s="8">
        <v>0.0141051611315783</v>
      </c>
      <c r="S59" s="8">
        <v>0.0109314164935281</v>
      </c>
      <c r="T59" s="8">
        <v>0.012277025700772</v>
      </c>
      <c r="U59" s="8">
        <v>1.18357553016023</v>
      </c>
      <c r="V59" s="8">
        <v>0.669129861221761</v>
      </c>
    </row>
    <row r="60">
      <c r="B60" s="4" t="s">
        <v>31</v>
      </c>
      <c r="C60" s="5">
        <f t="shared" ref="C60:V60" si="5">MEDIAN(C44:C59)</f>
        <v>0.8596944723</v>
      </c>
      <c r="D60" s="5">
        <f t="shared" si="5"/>
        <v>0.8237599573</v>
      </c>
      <c r="E60" s="5">
        <f t="shared" si="5"/>
        <v>0.7492119678</v>
      </c>
      <c r="F60" s="5">
        <f t="shared" si="5"/>
        <v>0.7445182393</v>
      </c>
      <c r="G60" s="5">
        <f t="shared" si="5"/>
        <v>0.705075216</v>
      </c>
      <c r="H60" s="5">
        <f t="shared" si="5"/>
        <v>0.7089994053</v>
      </c>
      <c r="I60" s="6">
        <f t="shared" si="5"/>
        <v>4.009377857</v>
      </c>
      <c r="J60" s="6">
        <f t="shared" si="5"/>
        <v>6.389930325</v>
      </c>
      <c r="K60" s="9">
        <f t="shared" si="5"/>
        <v>188</v>
      </c>
      <c r="L60" s="9">
        <f t="shared" si="5"/>
        <v>381.6</v>
      </c>
      <c r="M60" s="9">
        <f t="shared" si="5"/>
        <v>165.6666667</v>
      </c>
      <c r="N60" s="9">
        <f t="shared" si="5"/>
        <v>360.1666667</v>
      </c>
      <c r="O60" s="8">
        <f t="shared" si="5"/>
        <v>0.01264391975</v>
      </c>
      <c r="P60" s="8">
        <f t="shared" si="5"/>
        <v>0.02713356825</v>
      </c>
      <c r="Q60" s="8">
        <f t="shared" si="5"/>
        <v>0.02779502758</v>
      </c>
      <c r="R60" s="8">
        <f t="shared" si="5"/>
        <v>0.01725392359</v>
      </c>
      <c r="S60" s="8">
        <f t="shared" si="5"/>
        <v>0.02306801706</v>
      </c>
      <c r="T60" s="8">
        <f t="shared" si="5"/>
        <v>0.02175462232</v>
      </c>
      <c r="U60" s="8">
        <f t="shared" si="5"/>
        <v>1.020104995</v>
      </c>
      <c r="V60" s="8">
        <f t="shared" si="5"/>
        <v>1.567379538</v>
      </c>
    </row>
    <row r="61">
      <c r="B61" s="4" t="s">
        <v>32</v>
      </c>
      <c r="C61" s="5">
        <f>MEDIAN(C44:C59)</f>
        <v>0.8596944723</v>
      </c>
      <c r="D61" s="5">
        <f t="shared" ref="D61:V61" si="6">AVERAGE(D44:D59)</f>
        <v>0.7937336808</v>
      </c>
      <c r="E61" s="5">
        <f t="shared" si="6"/>
        <v>0.7580250807</v>
      </c>
      <c r="F61" s="5">
        <f t="shared" si="6"/>
        <v>0.724029131</v>
      </c>
      <c r="G61" s="5">
        <f t="shared" si="6"/>
        <v>0.7093091637</v>
      </c>
      <c r="H61" s="5">
        <f t="shared" si="6"/>
        <v>0.6789403976</v>
      </c>
      <c r="I61" s="6">
        <f t="shared" si="6"/>
        <v>4.69290822</v>
      </c>
      <c r="J61" s="6">
        <f t="shared" si="6"/>
        <v>15.91399758</v>
      </c>
      <c r="K61" s="9">
        <f t="shared" si="6"/>
        <v>230.7</v>
      </c>
      <c r="L61" s="9">
        <f t="shared" si="6"/>
        <v>423.35</v>
      </c>
      <c r="M61" s="9">
        <f t="shared" si="6"/>
        <v>181.5833333</v>
      </c>
      <c r="N61" s="9">
        <f t="shared" si="6"/>
        <v>368.2083333</v>
      </c>
      <c r="O61" s="8">
        <f t="shared" si="6"/>
        <v>0.0173776902</v>
      </c>
      <c r="P61" s="8">
        <f t="shared" si="6"/>
        <v>0.04776434888</v>
      </c>
      <c r="Q61" s="8">
        <f t="shared" si="6"/>
        <v>0.03309350229</v>
      </c>
      <c r="R61" s="8">
        <f t="shared" si="6"/>
        <v>0.02545113749</v>
      </c>
      <c r="S61" s="8">
        <f t="shared" si="6"/>
        <v>0.02353030704</v>
      </c>
      <c r="T61" s="8">
        <f t="shared" si="6"/>
        <v>0.02644592202</v>
      </c>
      <c r="U61" s="8">
        <f t="shared" si="6"/>
        <v>1.309342275</v>
      </c>
      <c r="V61" s="8">
        <f t="shared" si="6"/>
        <v>1.96643889</v>
      </c>
    </row>
    <row r="64">
      <c r="B64" s="4" t="s">
        <v>31</v>
      </c>
      <c r="C64" s="4" t="s">
        <v>35</v>
      </c>
      <c r="D64" s="4" t="s">
        <v>36</v>
      </c>
      <c r="E64" s="4" t="s">
        <v>37</v>
      </c>
      <c r="G64" s="4" t="s">
        <v>1</v>
      </c>
      <c r="H64" s="4" t="s">
        <v>35</v>
      </c>
      <c r="I64" s="4" t="s">
        <v>36</v>
      </c>
      <c r="J64" s="4" t="s">
        <v>37</v>
      </c>
    </row>
    <row r="65">
      <c r="B65" s="4" t="s">
        <v>38</v>
      </c>
      <c r="C65" s="10">
        <f t="shared" ref="C65:D65" si="7">C20</f>
        <v>0.8122024002</v>
      </c>
      <c r="D65" s="10">
        <f t="shared" si="7"/>
        <v>0.7769753282</v>
      </c>
      <c r="E65" s="10">
        <f>H20</f>
        <v>0.6415945146</v>
      </c>
      <c r="G65" s="4" t="s">
        <v>38</v>
      </c>
      <c r="H65" s="10">
        <f t="shared" ref="H65:I65" si="8">O20</f>
        <v>0.005390075155</v>
      </c>
      <c r="I65" s="10">
        <f t="shared" si="8"/>
        <v>0.009882547765</v>
      </c>
      <c r="J65" s="10">
        <f>T20</f>
        <v>0.006583510908</v>
      </c>
    </row>
    <row r="66">
      <c r="B66" s="4" t="s">
        <v>39</v>
      </c>
      <c r="C66" s="10">
        <f t="shared" ref="C66:D66" si="9">C40</f>
        <v>0.8247362666</v>
      </c>
      <c r="D66" s="10">
        <f t="shared" si="9"/>
        <v>0.7848760234</v>
      </c>
      <c r="E66" s="10">
        <f>H40</f>
        <v>0.645623138</v>
      </c>
      <c r="G66" s="4" t="s">
        <v>39</v>
      </c>
      <c r="H66" s="10">
        <f t="shared" ref="H66:I66" si="10">O40</f>
        <v>0.006953380388</v>
      </c>
      <c r="I66" s="10">
        <f t="shared" si="10"/>
        <v>0.01191708017</v>
      </c>
      <c r="J66" s="10">
        <f>T40</f>
        <v>0.00844081958</v>
      </c>
    </row>
    <row r="67">
      <c r="B67" s="4" t="s">
        <v>40</v>
      </c>
      <c r="C67" s="10">
        <f t="shared" ref="C67:D67" si="11">C60</f>
        <v>0.8596944723</v>
      </c>
      <c r="D67" s="10">
        <f t="shared" si="11"/>
        <v>0.8237599573</v>
      </c>
      <c r="E67" s="10">
        <f>H60</f>
        <v>0.7089994053</v>
      </c>
      <c r="G67" s="4" t="s">
        <v>40</v>
      </c>
      <c r="H67" s="10">
        <f>O60</f>
        <v>0.01264391975</v>
      </c>
      <c r="I67" s="11">
        <f>Q60</f>
        <v>0.02779502758</v>
      </c>
      <c r="J67" s="10">
        <f>T60</f>
        <v>0.02175462232</v>
      </c>
    </row>
    <row r="68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>
      <c r="B73" s="1" t="s">
        <v>0</v>
      </c>
      <c r="O73" s="2" t="s">
        <v>1</v>
      </c>
    </row>
    <row r="74"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7</v>
      </c>
      <c r="H74" s="3" t="s">
        <v>8</v>
      </c>
      <c r="I74" s="3" t="s">
        <v>9</v>
      </c>
      <c r="J74" s="3" t="s">
        <v>10</v>
      </c>
      <c r="K74" s="3" t="s">
        <v>11</v>
      </c>
      <c r="L74" s="3" t="s">
        <v>12</v>
      </c>
      <c r="M74" s="3" t="s">
        <v>13</v>
      </c>
      <c r="N74" s="3" t="s">
        <v>14</v>
      </c>
      <c r="O74" s="3" t="s">
        <v>3</v>
      </c>
      <c r="P74" s="3" t="s">
        <v>4</v>
      </c>
      <c r="Q74" s="3" t="s">
        <v>5</v>
      </c>
      <c r="R74" s="3" t="s">
        <v>6</v>
      </c>
      <c r="S74" s="3" t="s">
        <v>7</v>
      </c>
      <c r="T74" s="3" t="s">
        <v>8</v>
      </c>
      <c r="U74" s="3" t="s">
        <v>9</v>
      </c>
      <c r="V74" s="3" t="s">
        <v>10</v>
      </c>
    </row>
    <row r="75">
      <c r="B75" s="4" t="s">
        <v>15</v>
      </c>
      <c r="C75" s="5">
        <v>0.808627371338446</v>
      </c>
      <c r="D75" s="5">
        <v>0.864635300349117</v>
      </c>
      <c r="E75" s="5">
        <v>0.858223992195776</v>
      </c>
      <c r="F75" s="5">
        <v>0.811184131795447</v>
      </c>
      <c r="G75" s="5">
        <v>0.77216834609532</v>
      </c>
      <c r="H75" s="5">
        <v>0.783689087596839</v>
      </c>
      <c r="I75" s="6">
        <v>13.8861388672198</v>
      </c>
      <c r="J75" s="6">
        <v>5.25112399893548</v>
      </c>
      <c r="K75" s="7">
        <v>429.6</v>
      </c>
      <c r="L75" s="7">
        <v>256.0</v>
      </c>
      <c r="M75" s="7">
        <v>618.0</v>
      </c>
      <c r="N75" s="7">
        <v>230.0</v>
      </c>
      <c r="O75" s="8">
        <v>0.00531121615348124</v>
      </c>
      <c r="P75" s="8">
        <v>0.00935047309932917</v>
      </c>
      <c r="Q75" s="8">
        <v>0.0104422365999131</v>
      </c>
      <c r="R75" s="8">
        <v>0.00645477564497689</v>
      </c>
      <c r="S75" s="8">
        <v>0.00529740457741642</v>
      </c>
      <c r="T75" s="8">
        <v>0.00569745626346719</v>
      </c>
      <c r="U75" s="8">
        <v>0.347370575157033</v>
      </c>
      <c r="V75" s="8">
        <v>0.335523054496581</v>
      </c>
    </row>
    <row r="76">
      <c r="B76" s="4" t="s">
        <v>41</v>
      </c>
      <c r="C76" s="5">
        <v>0.900626810035698</v>
      </c>
      <c r="D76" s="5">
        <v>0.874058519474715</v>
      </c>
      <c r="E76" s="5">
        <v>0.762278041472106</v>
      </c>
      <c r="F76" s="5">
        <v>0.723595534676664</v>
      </c>
      <c r="G76" s="5">
        <v>0.791810348184697</v>
      </c>
      <c r="H76" s="5">
        <v>0.750860468646012</v>
      </c>
      <c r="I76" s="6">
        <v>6.67022464691392</v>
      </c>
      <c r="J76" s="6">
        <v>3.26709434951618</v>
      </c>
      <c r="K76" s="7">
        <v>58.4</v>
      </c>
      <c r="L76" s="7">
        <v>553.6</v>
      </c>
      <c r="M76" s="7">
        <v>39.0</v>
      </c>
      <c r="N76" s="7">
        <v>195.0</v>
      </c>
      <c r="O76" s="8">
        <v>0.00366582792338188</v>
      </c>
      <c r="P76" s="8">
        <v>0.00732031730427417</v>
      </c>
      <c r="Q76" s="8">
        <v>0.0190946013537984</v>
      </c>
      <c r="R76" s="8">
        <v>0.0122289958529106</v>
      </c>
      <c r="S76" s="8">
        <v>0.00909020370215048</v>
      </c>
      <c r="T76" s="8">
        <v>0.0109751793415986</v>
      </c>
      <c r="U76" s="8">
        <v>0.380408337629291</v>
      </c>
      <c r="V76" s="8">
        <v>0.189428939457426</v>
      </c>
    </row>
    <row r="77">
      <c r="B77" s="4" t="s">
        <v>16</v>
      </c>
      <c r="C77" s="5">
        <v>0.872690393255646</v>
      </c>
      <c r="D77" s="5">
        <v>0.728593748947775</v>
      </c>
      <c r="E77" s="5">
        <v>0.658415247123037</v>
      </c>
      <c r="F77" s="5">
        <v>0.658563262564926</v>
      </c>
      <c r="G77" s="5">
        <v>0.670640391114272</v>
      </c>
      <c r="H77" s="5">
        <v>0.664043586942069</v>
      </c>
      <c r="I77" s="6">
        <v>6.78704832616651</v>
      </c>
      <c r="J77" s="6">
        <v>5.94391234826887</v>
      </c>
      <c r="K77" s="7">
        <v>67.2</v>
      </c>
      <c r="L77" s="7">
        <v>592.8</v>
      </c>
      <c r="M77" s="7">
        <v>149.0</v>
      </c>
      <c r="N77" s="7">
        <v>365.0</v>
      </c>
      <c r="O77" s="8">
        <v>0.00364041640704744</v>
      </c>
      <c r="P77" s="8">
        <v>0.0152367400544662</v>
      </c>
      <c r="Q77" s="8">
        <v>0.0069244271646819</v>
      </c>
      <c r="R77" s="8">
        <v>0.0114168089388817</v>
      </c>
      <c r="S77" s="8">
        <v>0.0190029153875008</v>
      </c>
      <c r="T77" s="8">
        <v>0.0143569008412494</v>
      </c>
      <c r="U77" s="8">
        <v>0.201351654612849</v>
      </c>
      <c r="V77" s="8">
        <v>0.503689835847452</v>
      </c>
    </row>
    <row r="78">
      <c r="B78" s="4" t="s">
        <v>17</v>
      </c>
      <c r="C78" s="5">
        <v>0.81577742910924</v>
      </c>
      <c r="D78" s="5">
        <v>0.792776718568801</v>
      </c>
      <c r="E78" s="5">
        <v>0.718519708660493</v>
      </c>
      <c r="F78" s="5">
        <v>0.687527719813111</v>
      </c>
      <c r="G78" s="5">
        <v>0.705629595176962</v>
      </c>
      <c r="H78" s="5">
        <v>0.695305928064865</v>
      </c>
      <c r="I78" s="6">
        <v>10.2831287413186</v>
      </c>
      <c r="J78" s="6">
        <v>8.13912834775732</v>
      </c>
      <c r="K78" s="7">
        <v>104.8</v>
      </c>
      <c r="L78" s="7">
        <v>494.4</v>
      </c>
      <c r="M78" s="7">
        <v>232.0</v>
      </c>
      <c r="N78" s="7">
        <v>426.0</v>
      </c>
      <c r="O78" s="8">
        <v>0.00673757871996211</v>
      </c>
      <c r="P78" s="8">
        <v>0.0169012420617571</v>
      </c>
      <c r="Q78" s="8">
        <v>0.0147836213669009</v>
      </c>
      <c r="R78" s="8">
        <v>0.00693585159420755</v>
      </c>
      <c r="S78" s="8">
        <v>0.016151274369466</v>
      </c>
      <c r="T78" s="8">
        <v>0.00992945783095756</v>
      </c>
      <c r="U78" s="8">
        <v>0.40544524054018</v>
      </c>
      <c r="V78" s="8">
        <v>0.913510475030462</v>
      </c>
    </row>
    <row r="79">
      <c r="B79" s="4" t="s">
        <v>18</v>
      </c>
      <c r="C79" s="5">
        <v>0.956072418477912</v>
      </c>
      <c r="D79" s="5">
        <v>0.932681189873693</v>
      </c>
      <c r="E79" s="5">
        <v>0.884101274501929</v>
      </c>
      <c r="F79" s="5">
        <v>0.857111616273156</v>
      </c>
      <c r="G79" s="5">
        <v>0.872744956461481</v>
      </c>
      <c r="H79" s="5">
        <v>0.863820729009771</v>
      </c>
      <c r="I79" s="6">
        <v>2.392675001231</v>
      </c>
      <c r="J79" s="6">
        <v>2.00008315097778</v>
      </c>
      <c r="K79" s="7">
        <v>17.6</v>
      </c>
      <c r="L79" s="7">
        <v>183.2</v>
      </c>
      <c r="M79" s="7">
        <v>185.0</v>
      </c>
      <c r="N79" s="7">
        <v>388.0</v>
      </c>
      <c r="O79" s="8">
        <v>0.00545421483833554</v>
      </c>
      <c r="P79" s="8">
        <v>0.0122952307900425</v>
      </c>
      <c r="Q79" s="8">
        <v>0.0204851021993787</v>
      </c>
      <c r="R79" s="8">
        <v>0.0292769591259048</v>
      </c>
      <c r="S79" s="8">
        <v>0.0214827305700197</v>
      </c>
      <c r="T79" s="8">
        <v>0.0213487046432721</v>
      </c>
      <c r="U79" s="8">
        <v>0.493681206055911</v>
      </c>
      <c r="V79" s="8">
        <v>0.478663719365365</v>
      </c>
    </row>
    <row r="80">
      <c r="B80" s="4" t="s">
        <v>19</v>
      </c>
      <c r="C80" s="5">
        <v>0.689427957087172</v>
      </c>
      <c r="D80" s="5">
        <v>0.644152738346701</v>
      </c>
      <c r="E80" s="5">
        <v>0.58885029193739</v>
      </c>
      <c r="F80" s="5">
        <v>0.537384830248803</v>
      </c>
      <c r="G80" s="5">
        <v>0.555443800807506</v>
      </c>
      <c r="H80" s="5">
        <v>0.53461543400794</v>
      </c>
      <c r="I80" s="6">
        <v>21.0613452403846</v>
      </c>
      <c r="J80" s="6">
        <v>9.99585905089809</v>
      </c>
      <c r="K80" s="7">
        <v>106.4</v>
      </c>
      <c r="L80" s="7">
        <v>573.6</v>
      </c>
      <c r="M80" s="7">
        <v>99.0</v>
      </c>
      <c r="N80" s="7">
        <v>593.0</v>
      </c>
      <c r="O80" s="8">
        <v>0.00594600904887854</v>
      </c>
      <c r="P80" s="8">
        <v>0.0124633069416523</v>
      </c>
      <c r="Q80" s="8">
        <v>0.0123124565416981</v>
      </c>
      <c r="R80" s="8">
        <v>0.00727438926171103</v>
      </c>
      <c r="S80" s="8">
        <v>0.0106381925116687</v>
      </c>
      <c r="T80" s="8">
        <v>0.0083591094074202</v>
      </c>
      <c r="U80" s="8">
        <v>0.475419067569482</v>
      </c>
      <c r="V80" s="8">
        <v>0.435677354785699</v>
      </c>
    </row>
    <row r="81">
      <c r="B81" s="4" t="s">
        <v>42</v>
      </c>
      <c r="C81" s="5">
        <v>0.921461997778982</v>
      </c>
      <c r="D81" s="5">
        <v>0.803335541627291</v>
      </c>
      <c r="E81" s="5">
        <v>0.599681900540581</v>
      </c>
      <c r="F81" s="5">
        <v>0.460730998889491</v>
      </c>
      <c r="G81" s="5">
        <v>0.5</v>
      </c>
      <c r="H81" s="5">
        <v>0.479562434133847</v>
      </c>
      <c r="I81" s="6">
        <v>0.0</v>
      </c>
      <c r="J81" s="6">
        <v>7.85380022210178</v>
      </c>
      <c r="K81" s="7">
        <v>101.6</v>
      </c>
      <c r="L81" s="7">
        <v>1192.0</v>
      </c>
      <c r="M81" s="7">
        <v>40.0</v>
      </c>
      <c r="N81" s="7">
        <v>672.0</v>
      </c>
      <c r="O81" s="8">
        <v>0.00192628994549201</v>
      </c>
      <c r="P81" s="8">
        <v>0.00703508263942534</v>
      </c>
      <c r="Q81" s="8">
        <v>0.00400897903756632</v>
      </c>
      <c r="R81" s="8">
        <v>9.63144972745962E-4</v>
      </c>
      <c r="S81" s="8">
        <v>0.0</v>
      </c>
      <c r="T81" s="8">
        <v>5.21743361476754E-4</v>
      </c>
      <c r="U81" s="8">
        <v>0.0</v>
      </c>
      <c r="V81" s="8">
        <v>0.192628994549196</v>
      </c>
    </row>
    <row r="82">
      <c r="B82" s="4" t="s">
        <v>20</v>
      </c>
      <c r="C82" s="5">
        <v>0.867471533538264</v>
      </c>
      <c r="D82" s="5">
        <v>0.870025781276146</v>
      </c>
      <c r="E82" s="5">
        <v>0.806732658494653</v>
      </c>
      <c r="F82" s="5">
        <v>0.797992541094348</v>
      </c>
      <c r="G82" s="5">
        <v>0.794848464547059</v>
      </c>
      <c r="H82" s="5">
        <v>0.796334320105871</v>
      </c>
      <c r="I82" s="6">
        <v>6.48142858601611</v>
      </c>
      <c r="J82" s="6">
        <v>6.77141806015746</v>
      </c>
      <c r="K82" s="7">
        <v>284.8</v>
      </c>
      <c r="L82" s="7">
        <v>1097.6</v>
      </c>
      <c r="M82" s="7">
        <v>245.0</v>
      </c>
      <c r="N82" s="7">
        <v>492.0</v>
      </c>
      <c r="O82" s="8">
        <v>0.00302490590432395</v>
      </c>
      <c r="P82" s="8">
        <v>0.00802452698476704</v>
      </c>
      <c r="Q82" s="8">
        <v>0.00975423004936587</v>
      </c>
      <c r="R82" s="8">
        <v>0.00354784143751403</v>
      </c>
      <c r="S82" s="8">
        <v>0.00821377057631028</v>
      </c>
      <c r="T82" s="8">
        <v>0.0056098410875699</v>
      </c>
      <c r="U82" s="8">
        <v>0.224708385767138</v>
      </c>
      <c r="V82" s="8">
        <v>0.385655178620136</v>
      </c>
    </row>
    <row r="83">
      <c r="B83" s="4" t="s">
        <v>21</v>
      </c>
      <c r="C83" s="5">
        <v>0.740475488283255</v>
      </c>
      <c r="D83" s="5">
        <v>0.944736114929778</v>
      </c>
      <c r="E83" s="5">
        <v>0.947428576497309</v>
      </c>
      <c r="F83" s="5">
        <v>0.729999508600965</v>
      </c>
      <c r="G83" s="5">
        <v>0.783999614139624</v>
      </c>
      <c r="H83" s="5">
        <v>0.723951894461871</v>
      </c>
      <c r="I83" s="6">
        <v>3.29902446037255</v>
      </c>
      <c r="J83" s="6">
        <v>22.6534267113018</v>
      </c>
      <c r="K83" s="7">
        <v>104.0</v>
      </c>
      <c r="L83" s="7">
        <v>40.8</v>
      </c>
      <c r="M83" s="7">
        <v>130.0</v>
      </c>
      <c r="N83" s="7">
        <v>338.0</v>
      </c>
      <c r="O83" s="8">
        <v>0.00978143237487741</v>
      </c>
      <c r="P83" s="8">
        <v>0.00871352370133254</v>
      </c>
      <c r="Q83" s="8">
        <v>0.00751786103026489</v>
      </c>
      <c r="R83" s="8">
        <v>0.00698770777298527</v>
      </c>
      <c r="S83" s="8">
        <v>0.0142473160448222</v>
      </c>
      <c r="T83" s="8">
        <v>0.00746956555288475</v>
      </c>
      <c r="U83" s="8">
        <v>0.744154090538215</v>
      </c>
      <c r="V83" s="8">
        <v>0.573109215302644</v>
      </c>
    </row>
    <row r="84">
      <c r="B84" s="4" t="s">
        <v>43</v>
      </c>
      <c r="C84" s="5">
        <v>0.922781509636266</v>
      </c>
      <c r="D84" s="5">
        <v>0.766607694154112</v>
      </c>
      <c r="E84" s="5">
        <v>0.684836999466481</v>
      </c>
      <c r="F84" s="5">
        <v>0.461390754818133</v>
      </c>
      <c r="G84" s="5">
        <v>0.5</v>
      </c>
      <c r="H84" s="5">
        <v>0.479919054101999</v>
      </c>
      <c r="I84" s="6">
        <v>0.0</v>
      </c>
      <c r="J84" s="6">
        <v>7.72184903637335</v>
      </c>
      <c r="K84" s="7">
        <v>64.8</v>
      </c>
      <c r="L84" s="7">
        <v>774.4</v>
      </c>
      <c r="M84" s="7">
        <v>16.0</v>
      </c>
      <c r="N84" s="7">
        <v>526.0</v>
      </c>
      <c r="O84" s="8">
        <v>0.00273785147662611</v>
      </c>
      <c r="P84" s="8">
        <v>0.0114133680627067</v>
      </c>
      <c r="Q84" s="8">
        <v>0.0077527063114922</v>
      </c>
      <c r="R84" s="8">
        <v>0.00136892573831309</v>
      </c>
      <c r="S84" s="8">
        <v>0.0</v>
      </c>
      <c r="T84" s="8">
        <v>7.40101624020034E-4</v>
      </c>
      <c r="U84" s="8">
        <v>0.0</v>
      </c>
      <c r="V84" s="8">
        <v>0.273785147662616</v>
      </c>
    </row>
    <row r="85">
      <c r="B85" s="4" t="s">
        <v>22</v>
      </c>
      <c r="C85" s="5">
        <v>0.57347901579081</v>
      </c>
      <c r="D85" s="5">
        <v>0.433132884881695</v>
      </c>
      <c r="E85" s="5">
        <v>0.450596902559611</v>
      </c>
      <c r="F85" s="5">
        <v>0.439244146561202</v>
      </c>
      <c r="G85" s="5">
        <v>0.474409068908923</v>
      </c>
      <c r="H85" s="5">
        <v>0.420279706405768</v>
      </c>
      <c r="I85" s="6">
        <v>8.16800251835987</v>
      </c>
      <c r="J85" s="6">
        <v>34.484095902559</v>
      </c>
      <c r="K85" s="7">
        <v>363.2</v>
      </c>
      <c r="L85" s="7">
        <v>606.4</v>
      </c>
      <c r="M85" s="7">
        <v>161.0</v>
      </c>
      <c r="N85" s="7">
        <v>487.0</v>
      </c>
      <c r="O85" s="8">
        <v>0.00716918205636538</v>
      </c>
      <c r="P85" s="8">
        <v>0.00673907503639107</v>
      </c>
      <c r="Q85" s="8">
        <v>0.00443320723570896</v>
      </c>
      <c r="R85" s="8">
        <v>0.0121726859102167</v>
      </c>
      <c r="S85" s="8">
        <v>0.00482265729566808</v>
      </c>
      <c r="T85" s="8">
        <v>0.00766778293057287</v>
      </c>
      <c r="U85" s="8">
        <v>0.363606137825483</v>
      </c>
      <c r="V85" s="8">
        <v>0.801969433393501</v>
      </c>
    </row>
    <row r="86">
      <c r="B86" s="4" t="s">
        <v>23</v>
      </c>
      <c r="C86" s="5">
        <v>0.851853169800859</v>
      </c>
      <c r="D86" s="5">
        <v>0.520314437398636</v>
      </c>
      <c r="E86" s="5">
        <v>0.53325394336419</v>
      </c>
      <c r="F86" s="5">
        <v>0.425926584900429</v>
      </c>
      <c r="G86" s="5">
        <v>0.5</v>
      </c>
      <c r="H86" s="5">
        <v>0.459996639510761</v>
      </c>
      <c r="I86" s="6">
        <v>0.0</v>
      </c>
      <c r="J86" s="6">
        <v>14.814683019914</v>
      </c>
      <c r="K86" s="7">
        <v>127.2</v>
      </c>
      <c r="L86" s="7">
        <v>731.2</v>
      </c>
      <c r="M86" s="7">
        <v>84.0</v>
      </c>
      <c r="N86" s="7">
        <v>764.0</v>
      </c>
      <c r="O86" s="8">
        <v>0.00488132436084362</v>
      </c>
      <c r="P86" s="8">
        <v>0.0122679869621109</v>
      </c>
      <c r="Q86" s="8">
        <v>0.0089436443027168</v>
      </c>
      <c r="R86" s="8">
        <v>0.00244066218042178</v>
      </c>
      <c r="S86" s="8">
        <v>0.0</v>
      </c>
      <c r="T86" s="8">
        <v>0.00142068738958472</v>
      </c>
      <c r="U86" s="8">
        <v>0.0</v>
      </c>
      <c r="V86" s="8">
        <v>0.48813243608436</v>
      </c>
    </row>
    <row r="87">
      <c r="B87" s="4" t="s">
        <v>24</v>
      </c>
      <c r="C87" s="5">
        <v>0.936264297838639</v>
      </c>
      <c r="D87" s="5">
        <v>0.92872050215313</v>
      </c>
      <c r="E87" s="5">
        <v>0.756123629341073</v>
      </c>
      <c r="F87" s="5">
        <v>0.468132148919319</v>
      </c>
      <c r="G87" s="5">
        <v>0.5</v>
      </c>
      <c r="H87" s="5">
        <v>0.483531299749648</v>
      </c>
      <c r="I87" s="6">
        <v>0.0</v>
      </c>
      <c r="J87" s="6">
        <v>6.37357021613603</v>
      </c>
      <c r="K87" s="7">
        <v>25.6</v>
      </c>
      <c r="L87" s="7">
        <v>375.2</v>
      </c>
      <c r="M87" s="7">
        <v>230.0</v>
      </c>
      <c r="N87" s="7">
        <v>580.0</v>
      </c>
      <c r="O87" s="8">
        <v>0.00864450601757729</v>
      </c>
      <c r="P87" s="8">
        <v>0.00401152200362102</v>
      </c>
      <c r="Q87" s="8">
        <v>0.0193565764996426</v>
      </c>
      <c r="R87" s="8">
        <v>0.00432225300878865</v>
      </c>
      <c r="S87" s="8">
        <v>0.0</v>
      </c>
      <c r="T87" s="8">
        <v>0.00230265048666785</v>
      </c>
      <c r="U87" s="8">
        <v>0.0</v>
      </c>
      <c r="V87" s="8">
        <v>0.864450601757729</v>
      </c>
    </row>
    <row r="88">
      <c r="B88" s="4" t="s">
        <v>25</v>
      </c>
      <c r="C88" s="5">
        <v>0.836027223146427</v>
      </c>
      <c r="D88" s="5">
        <v>0.886760638131903</v>
      </c>
      <c r="E88" s="5">
        <v>0.880689414354116</v>
      </c>
      <c r="F88" s="5">
        <v>0.835481706407489</v>
      </c>
      <c r="G88" s="5">
        <v>0.837284631491667</v>
      </c>
      <c r="H88" s="5">
        <v>0.835666483405181</v>
      </c>
      <c r="I88" s="6">
        <v>6.76898842766793</v>
      </c>
      <c r="J88" s="6">
        <v>9.62828925768928</v>
      </c>
      <c r="K88" s="7">
        <v>451.2</v>
      </c>
      <c r="L88" s="7">
        <v>388.0</v>
      </c>
      <c r="M88" s="7">
        <v>426.0</v>
      </c>
      <c r="N88" s="7">
        <v>422.0</v>
      </c>
      <c r="O88" s="8">
        <v>0.00532593547196695</v>
      </c>
      <c r="P88" s="8">
        <v>0.00667697504837514</v>
      </c>
      <c r="Q88" s="8">
        <v>0.0071897781219994</v>
      </c>
      <c r="R88" s="8">
        <v>0.00516083577851445</v>
      </c>
      <c r="S88" s="8">
        <v>0.00532037986623744</v>
      </c>
      <c r="T88" s="8">
        <v>0.00527484202383124</v>
      </c>
      <c r="U88" s="8">
        <v>0.354693284487282</v>
      </c>
      <c r="V88" s="8">
        <v>0.435183159756686</v>
      </c>
    </row>
    <row r="89">
      <c r="B89" s="4" t="s">
        <v>26</v>
      </c>
      <c r="C89" s="5">
        <v>0.326247290094852</v>
      </c>
      <c r="D89" s="5">
        <v>0.731105983736047</v>
      </c>
      <c r="E89" s="5">
        <v>0.672311381333307</v>
      </c>
      <c r="F89" s="5">
        <v>0.624260006516128</v>
      </c>
      <c r="G89" s="5">
        <v>0.509628597354778</v>
      </c>
      <c r="H89" s="5">
        <v>0.262096932262073</v>
      </c>
      <c r="I89" s="6">
        <v>0.112509423536469</v>
      </c>
      <c r="J89" s="6">
        <v>67.2627615669782</v>
      </c>
      <c r="K89" s="7">
        <v>489.6</v>
      </c>
      <c r="L89" s="7">
        <v>221.6</v>
      </c>
      <c r="M89" s="7">
        <v>102.0</v>
      </c>
      <c r="N89" s="7">
        <v>503.0</v>
      </c>
      <c r="O89" s="8">
        <v>0.00439002399113739</v>
      </c>
      <c r="P89" s="8">
        <v>0.0115661733737811</v>
      </c>
      <c r="Q89" s="8">
        <v>0.0110097336405013</v>
      </c>
      <c r="R89" s="8">
        <v>0.0149264220762226</v>
      </c>
      <c r="S89" s="8">
        <v>0.00153928587670279</v>
      </c>
      <c r="T89" s="8">
        <v>0.00200623183246495</v>
      </c>
      <c r="U89" s="8">
        <v>0.056293927806073</v>
      </c>
      <c r="V89" s="8">
        <v>0.486040276507211</v>
      </c>
    </row>
    <row r="90">
      <c r="B90" s="4" t="s">
        <v>27</v>
      </c>
      <c r="C90" s="5">
        <v>0.666053689813563</v>
      </c>
      <c r="D90" s="5">
        <v>0.761173937875506</v>
      </c>
      <c r="E90" s="5">
        <v>0.752432145859465</v>
      </c>
      <c r="F90" s="5">
        <v>0.701574448675238</v>
      </c>
      <c r="G90" s="5">
        <v>0.63411497433746</v>
      </c>
      <c r="H90" s="5">
        <v>0.619145442264205</v>
      </c>
      <c r="I90" s="6">
        <v>4.91428468658661</v>
      </c>
      <c r="J90" s="6">
        <v>28.480346332057</v>
      </c>
      <c r="K90" s="7">
        <v>208.8</v>
      </c>
      <c r="L90" s="7">
        <v>263.2</v>
      </c>
      <c r="M90" s="7">
        <v>186.0</v>
      </c>
      <c r="N90" s="7">
        <v>393.0</v>
      </c>
      <c r="O90" s="8">
        <v>0.00772882768186136</v>
      </c>
      <c r="P90" s="8">
        <v>0.0104146224315287</v>
      </c>
      <c r="Q90" s="8">
        <v>0.00917091267933865</v>
      </c>
      <c r="R90" s="8">
        <v>0.00616001341227585</v>
      </c>
      <c r="S90" s="8">
        <v>0.00721663046474976</v>
      </c>
      <c r="T90" s="8">
        <v>0.00963325502424687</v>
      </c>
      <c r="U90" s="8">
        <v>0.0996413455295249</v>
      </c>
      <c r="V90" s="8">
        <v>0.83436505539193</v>
      </c>
    </row>
    <row r="91">
      <c r="B91" s="4" t="s">
        <v>28</v>
      </c>
      <c r="C91" s="5">
        <v>0.357581685870105</v>
      </c>
      <c r="D91" s="5">
        <v>0.670053650628874</v>
      </c>
      <c r="E91" s="5">
        <v>0.652637090432175</v>
      </c>
      <c r="F91" s="5">
        <v>0.649034807038399</v>
      </c>
      <c r="G91" s="5">
        <v>0.515315884324606</v>
      </c>
      <c r="H91" s="5">
        <v>0.287928002944889</v>
      </c>
      <c r="I91" s="6">
        <v>0.106730493987836</v>
      </c>
      <c r="J91" s="6">
        <v>64.1351009190016</v>
      </c>
      <c r="K91" s="7">
        <v>497.6</v>
      </c>
      <c r="L91" s="7">
        <v>252.0</v>
      </c>
      <c r="M91" s="7">
        <v>295.0</v>
      </c>
      <c r="N91" s="7">
        <v>553.0</v>
      </c>
      <c r="O91" s="8">
        <v>0.0046115100906151</v>
      </c>
      <c r="P91" s="8">
        <v>0.0107788794820609</v>
      </c>
      <c r="Q91" s="8">
        <v>0.00650733031516246</v>
      </c>
      <c r="R91" s="8">
        <v>0.0110227022422932</v>
      </c>
      <c r="S91" s="8">
        <v>0.00216475072659637</v>
      </c>
      <c r="T91" s="8">
        <v>0.00510607306512261</v>
      </c>
      <c r="U91" s="8">
        <v>0.0534006024947243</v>
      </c>
      <c r="V91" s="8">
        <v>0.487054530390464</v>
      </c>
    </row>
    <row r="92">
      <c r="B92" s="4" t="s">
        <v>29</v>
      </c>
      <c r="C92" s="5">
        <v>0.631976395905204</v>
      </c>
      <c r="D92" s="5">
        <v>0.662668910504561</v>
      </c>
      <c r="E92" s="5">
        <v>0.621037843848446</v>
      </c>
      <c r="F92" s="5">
        <v>0.599335285899032</v>
      </c>
      <c r="G92" s="5">
        <v>0.58555283121627</v>
      </c>
      <c r="H92" s="5">
        <v>0.585497213602986</v>
      </c>
      <c r="I92" s="6">
        <v>13.5043352577849</v>
      </c>
      <c r="J92" s="6">
        <v>23.2980251516945</v>
      </c>
      <c r="K92" s="7">
        <v>246.4</v>
      </c>
      <c r="L92" s="7">
        <v>399.2</v>
      </c>
      <c r="M92" s="7">
        <v>226.0</v>
      </c>
      <c r="N92" s="7">
        <v>467.0</v>
      </c>
      <c r="O92" s="8">
        <v>0.00279528400235246</v>
      </c>
      <c r="P92" s="8">
        <v>0.00626969000160072</v>
      </c>
      <c r="Q92" s="8">
        <v>0.00848230584544565</v>
      </c>
      <c r="R92" s="8">
        <v>0.00326552829949957</v>
      </c>
      <c r="S92" s="8">
        <v>0.00357837489128085</v>
      </c>
      <c r="T92" s="8">
        <v>0.00386365439354871</v>
      </c>
      <c r="U92" s="8">
        <v>0.318660326605342</v>
      </c>
      <c r="V92" s="8">
        <v>0.440030824966325</v>
      </c>
    </row>
    <row r="93">
      <c r="B93" s="4" t="s">
        <v>44</v>
      </c>
      <c r="C93" s="5">
        <v>0.76842297731838</v>
      </c>
      <c r="D93" s="5">
        <v>0.504025141748059</v>
      </c>
      <c r="E93" s="5">
        <v>0.502736608864215</v>
      </c>
      <c r="F93" s="5">
        <v>0.38421148865919</v>
      </c>
      <c r="G93" s="5">
        <v>0.5</v>
      </c>
      <c r="H93" s="5">
        <v>0.434513366289745</v>
      </c>
      <c r="I93" s="6">
        <v>0.0</v>
      </c>
      <c r="J93" s="6">
        <v>23.1577022681619</v>
      </c>
      <c r="K93" s="7">
        <v>274.4</v>
      </c>
      <c r="L93" s="7">
        <v>910.4</v>
      </c>
      <c r="M93" s="7">
        <v>18.0</v>
      </c>
      <c r="N93" s="7">
        <v>665.0</v>
      </c>
      <c r="O93" s="8">
        <v>0.00783781114337687</v>
      </c>
      <c r="P93" s="8">
        <v>0.00482119645559173</v>
      </c>
      <c r="Q93" s="8">
        <v>0.00349268921632683</v>
      </c>
      <c r="R93" s="8">
        <v>0.00391890557168844</v>
      </c>
      <c r="S93" s="8">
        <v>0.0</v>
      </c>
      <c r="T93" s="8">
        <v>0.00249514797396067</v>
      </c>
      <c r="U93" s="8">
        <v>0.0</v>
      </c>
      <c r="V93" s="8">
        <v>0.783781114337687</v>
      </c>
    </row>
    <row r="94">
      <c r="B94" s="4" t="s">
        <v>30</v>
      </c>
      <c r="C94" s="5">
        <v>0.864373685466457</v>
      </c>
      <c r="D94" s="5">
        <v>0.903355739535496</v>
      </c>
      <c r="E94" s="5">
        <v>0.885884910300702</v>
      </c>
      <c r="F94" s="5">
        <v>0.850333111757784</v>
      </c>
      <c r="G94" s="5">
        <v>0.866890350805338</v>
      </c>
      <c r="H94" s="5">
        <v>0.8564129739035</v>
      </c>
      <c r="I94" s="6">
        <v>9.09593602277582</v>
      </c>
      <c r="J94" s="6">
        <v>4.46669543057841</v>
      </c>
      <c r="K94" s="7">
        <v>167.2</v>
      </c>
      <c r="L94" s="7">
        <v>298.4</v>
      </c>
      <c r="M94" s="7">
        <v>266.0</v>
      </c>
      <c r="N94" s="7">
        <v>426.0</v>
      </c>
      <c r="O94" s="8">
        <v>0.00870484733807966</v>
      </c>
      <c r="P94" s="8">
        <v>0.00862676948700278</v>
      </c>
      <c r="Q94" s="8">
        <v>0.0115159198891228</v>
      </c>
      <c r="R94" s="8">
        <v>0.00850525020599704</v>
      </c>
      <c r="S94" s="8">
        <v>0.00793171040103639</v>
      </c>
      <c r="T94" s="8">
        <v>0.00852252975225276</v>
      </c>
      <c r="U94" s="8">
        <v>0.760849535062078</v>
      </c>
      <c r="V94" s="8">
        <v>0.348071112122881</v>
      </c>
    </row>
    <row r="95">
      <c r="B95" s="4" t="s">
        <v>31</v>
      </c>
      <c r="C95" s="5">
        <f t="shared" ref="C95:V95" si="12">MEDIAN(C75:C94)</f>
        <v>0.8259023261</v>
      </c>
      <c r="D95" s="5">
        <f t="shared" si="12"/>
        <v>0.7796922064</v>
      </c>
      <c r="E95" s="5">
        <f t="shared" si="12"/>
        <v>0.7016783541</v>
      </c>
      <c r="F95" s="5">
        <f t="shared" si="12"/>
        <v>0.6537990348</v>
      </c>
      <c r="G95" s="5">
        <f t="shared" si="12"/>
        <v>0.6098339028</v>
      </c>
      <c r="H95" s="5">
        <f t="shared" si="12"/>
        <v>0.6023213279</v>
      </c>
      <c r="I95" s="6">
        <f t="shared" si="12"/>
        <v>5.697856636</v>
      </c>
      <c r="J95" s="6">
        <f t="shared" si="12"/>
        <v>8.883708803</v>
      </c>
      <c r="K95" s="9">
        <f t="shared" si="12"/>
        <v>147.2</v>
      </c>
      <c r="L95" s="9">
        <f t="shared" si="12"/>
        <v>446.8</v>
      </c>
      <c r="M95" s="9">
        <f t="shared" si="12"/>
        <v>173</v>
      </c>
      <c r="N95" s="9">
        <f t="shared" si="12"/>
        <v>477</v>
      </c>
      <c r="O95" s="8">
        <f t="shared" si="12"/>
        <v>0.005318575813</v>
      </c>
      <c r="P95" s="8">
        <f t="shared" si="12"/>
        <v>0.0090319984</v>
      </c>
      <c r="Q95" s="8">
        <f t="shared" si="12"/>
        <v>0.009057278491</v>
      </c>
      <c r="R95" s="8">
        <f t="shared" si="12"/>
        <v>0.00669531362</v>
      </c>
      <c r="S95" s="8">
        <f t="shared" si="12"/>
        <v>0.005308892222</v>
      </c>
      <c r="T95" s="8">
        <f t="shared" si="12"/>
        <v>0.005653648676</v>
      </c>
      <c r="U95" s="8">
        <f t="shared" si="12"/>
        <v>0.2716843562</v>
      </c>
      <c r="V95" s="8">
        <f t="shared" si="12"/>
        <v>0.4823519979</v>
      </c>
    </row>
    <row r="96">
      <c r="B96" s="4" t="s">
        <v>32</v>
      </c>
      <c r="C96" s="5">
        <f t="shared" ref="C96:V96" si="13">AVERAGE(C75:C94)</f>
        <v>0.765384617</v>
      </c>
      <c r="D96" s="5">
        <f t="shared" si="13"/>
        <v>0.7611457587</v>
      </c>
      <c r="E96" s="5">
        <f t="shared" si="13"/>
        <v>0.7108386281</v>
      </c>
      <c r="F96" s="5">
        <f t="shared" si="13"/>
        <v>0.6351507317</v>
      </c>
      <c r="G96" s="5">
        <f t="shared" si="13"/>
        <v>0.6435240927</v>
      </c>
      <c r="H96" s="5">
        <f t="shared" si="13"/>
        <v>0.6008585499</v>
      </c>
      <c r="I96" s="6">
        <f t="shared" si="13"/>
        <v>5.676590035</v>
      </c>
      <c r="J96" s="6">
        <f t="shared" si="13"/>
        <v>17.78494827</v>
      </c>
      <c r="K96" s="9">
        <f t="shared" si="13"/>
        <v>209.52</v>
      </c>
      <c r="L96" s="9">
        <f t="shared" si="13"/>
        <v>510.2</v>
      </c>
      <c r="M96" s="9">
        <f t="shared" si="13"/>
        <v>187.35</v>
      </c>
      <c r="N96" s="9">
        <f t="shared" si="13"/>
        <v>474.25</v>
      </c>
      <c r="O96" s="8">
        <f t="shared" si="13"/>
        <v>0.005515749747</v>
      </c>
      <c r="P96" s="8">
        <f t="shared" si="13"/>
        <v>0.009546335096</v>
      </c>
      <c r="Q96" s="8">
        <f t="shared" si="13"/>
        <v>0.01015891597</v>
      </c>
      <c r="R96" s="8">
        <f t="shared" si="13"/>
        <v>0.007917532951</v>
      </c>
      <c r="S96" s="8">
        <f t="shared" si="13"/>
        <v>0.006834879863</v>
      </c>
      <c r="T96" s="8">
        <f t="shared" si="13"/>
        <v>0.006665045741</v>
      </c>
      <c r="U96" s="8">
        <f t="shared" si="13"/>
        <v>0.2639841859</v>
      </c>
      <c r="V96" s="8">
        <f t="shared" si="13"/>
        <v>0.512537523</v>
      </c>
    </row>
    <row r="97">
      <c r="B97" s="1" t="s">
        <v>33</v>
      </c>
      <c r="O97" s="2" t="s">
        <v>1</v>
      </c>
    </row>
    <row r="98"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3</v>
      </c>
      <c r="P98" s="3" t="s">
        <v>4</v>
      </c>
      <c r="Q98" s="3" t="s">
        <v>5</v>
      </c>
      <c r="R98" s="3" t="s">
        <v>6</v>
      </c>
      <c r="S98" s="3" t="s">
        <v>7</v>
      </c>
      <c r="T98" s="3" t="s">
        <v>8</v>
      </c>
      <c r="U98" s="3" t="s">
        <v>9</v>
      </c>
      <c r="V98" s="3" t="s">
        <v>10</v>
      </c>
    </row>
    <row r="99">
      <c r="B99" s="4" t="s">
        <v>15</v>
      </c>
      <c r="C99" s="5">
        <v>0.828072999707141</v>
      </c>
      <c r="D99" s="5">
        <v>0.884088161508688</v>
      </c>
      <c r="E99" s="5">
        <v>0.853923209779972</v>
      </c>
      <c r="F99" s="5">
        <v>0.817418711576669</v>
      </c>
      <c r="G99" s="5">
        <v>0.830114705445204</v>
      </c>
      <c r="H99" s="5">
        <v>0.820713274918439</v>
      </c>
      <c r="I99" s="6">
        <v>6.03995039983941</v>
      </c>
      <c r="J99" s="6">
        <v>11.1527496294464</v>
      </c>
      <c r="K99" s="7">
        <v>429.6</v>
      </c>
      <c r="L99" s="7">
        <v>256.0</v>
      </c>
      <c r="M99" s="7">
        <v>620.4</v>
      </c>
      <c r="N99" s="7">
        <v>227.6</v>
      </c>
      <c r="O99" s="8">
        <v>0.0234389870607511</v>
      </c>
      <c r="P99" s="8">
        <v>0.015412953620314</v>
      </c>
      <c r="Q99" s="8">
        <v>0.0164429038126984</v>
      </c>
      <c r="R99" s="8">
        <v>0.023056876923707</v>
      </c>
      <c r="S99" s="8">
        <v>0.0214852205098198</v>
      </c>
      <c r="T99" s="8">
        <v>0.0235828974116259</v>
      </c>
      <c r="U99" s="8">
        <v>1.21663904439172</v>
      </c>
      <c r="V99" s="8">
        <v>2.35169793518244</v>
      </c>
    </row>
    <row r="100">
      <c r="B100" s="4" t="s">
        <v>41</v>
      </c>
      <c r="C100" s="5">
        <v>0.899847258582894</v>
      </c>
      <c r="D100" s="5">
        <v>0.881034624777237</v>
      </c>
      <c r="E100" s="5">
        <v>0.763934556386774</v>
      </c>
      <c r="F100" s="5">
        <v>0.727591867081155</v>
      </c>
      <c r="G100" s="5">
        <v>0.79727484866886</v>
      </c>
      <c r="H100" s="5">
        <v>0.751334929950925</v>
      </c>
      <c r="I100" s="6">
        <v>6.84804932342204</v>
      </c>
      <c r="J100" s="6">
        <v>3.1672248182885</v>
      </c>
      <c r="K100" s="7">
        <v>58.4</v>
      </c>
      <c r="L100" s="7">
        <v>553.6</v>
      </c>
      <c r="M100" s="7">
        <v>21.8</v>
      </c>
      <c r="N100" s="7">
        <v>111.2</v>
      </c>
      <c r="O100" s="8">
        <v>0.019605144727975</v>
      </c>
      <c r="P100" s="8">
        <v>0.0151258747545742</v>
      </c>
      <c r="Q100" s="8">
        <v>0.0338469426696626</v>
      </c>
      <c r="R100" s="8">
        <v>0.0327021896551872</v>
      </c>
      <c r="S100" s="8">
        <v>0.0516659103757201</v>
      </c>
      <c r="T100" s="8">
        <v>0.0380375854074326</v>
      </c>
      <c r="U100" s="8">
        <v>2.38349947302301</v>
      </c>
      <c r="V100" s="8">
        <v>1.19406629705883</v>
      </c>
    </row>
    <row r="101">
      <c r="B101" s="4" t="s">
        <v>16</v>
      </c>
      <c r="C101" s="5">
        <v>0.872730393904529</v>
      </c>
      <c r="D101" s="5">
        <v>0.7234687928018</v>
      </c>
      <c r="E101" s="5">
        <v>0.645356364618499</v>
      </c>
      <c r="F101" s="5">
        <v>0.658440966558491</v>
      </c>
      <c r="G101" s="5">
        <v>0.661364218035432</v>
      </c>
      <c r="H101" s="5">
        <v>0.658612416624456</v>
      </c>
      <c r="I101" s="6">
        <v>6.57049223100636</v>
      </c>
      <c r="J101" s="6">
        <v>6.15646837854068</v>
      </c>
      <c r="K101" s="7">
        <v>67.2</v>
      </c>
      <c r="L101" s="7">
        <v>592.8</v>
      </c>
      <c r="M101" s="7">
        <v>97.0</v>
      </c>
      <c r="N101" s="7">
        <v>560.4</v>
      </c>
      <c r="O101" s="8">
        <v>0.0107358597369544</v>
      </c>
      <c r="P101" s="8">
        <v>0.0366138601845318</v>
      </c>
      <c r="Q101" s="8">
        <v>0.0199280038157585</v>
      </c>
      <c r="R101" s="8">
        <v>0.0295852264000834</v>
      </c>
      <c r="S101" s="8">
        <v>0.0173271538899274</v>
      </c>
      <c r="T101" s="8">
        <v>0.0204913455043838</v>
      </c>
      <c r="U101" s="8">
        <v>1.25281207113835</v>
      </c>
      <c r="V101" s="8">
        <v>0.455915572800994</v>
      </c>
    </row>
    <row r="102">
      <c r="B102" s="4" t="s">
        <v>17</v>
      </c>
      <c r="C102" s="5">
        <v>0.827168857444062</v>
      </c>
      <c r="D102" s="5">
        <v>0.79750253120394</v>
      </c>
      <c r="E102" s="5">
        <v>0.725253326189511</v>
      </c>
      <c r="F102" s="5">
        <v>0.706942381590904</v>
      </c>
      <c r="G102" s="5">
        <v>0.727285503558441</v>
      </c>
      <c r="H102" s="5">
        <v>0.715196262851516</v>
      </c>
      <c r="I102" s="6">
        <v>9.80514337207234</v>
      </c>
      <c r="J102" s="6">
        <v>7.47797088352138</v>
      </c>
      <c r="K102" s="7">
        <v>104.8</v>
      </c>
      <c r="L102" s="7">
        <v>494.4</v>
      </c>
      <c r="M102" s="7">
        <v>173.4</v>
      </c>
      <c r="N102" s="7">
        <v>558.0</v>
      </c>
      <c r="O102" s="8">
        <v>0.0128263232788006</v>
      </c>
      <c r="P102" s="8">
        <v>0.0159708134400491</v>
      </c>
      <c r="Q102" s="8">
        <v>0.0101161562307145</v>
      </c>
      <c r="R102" s="8">
        <v>0.0116256997021468</v>
      </c>
      <c r="S102" s="8">
        <v>0.0190306685721867</v>
      </c>
      <c r="T102" s="8">
        <v>0.0124147593390837</v>
      </c>
      <c r="U102" s="8">
        <v>1.40676266023327</v>
      </c>
      <c r="V102" s="8">
        <v>1.04812736473192</v>
      </c>
    </row>
    <row r="103">
      <c r="B103" s="4" t="s">
        <v>18</v>
      </c>
      <c r="C103" s="5">
        <v>0.954259869207039</v>
      </c>
      <c r="D103" s="5">
        <v>0.96018414530033</v>
      </c>
      <c r="E103" s="5">
        <v>0.900107472069679</v>
      </c>
      <c r="F103" s="5">
        <v>0.848353576646304</v>
      </c>
      <c r="G103" s="5">
        <v>0.884170690492344</v>
      </c>
      <c r="H103" s="5">
        <v>0.864353095558196</v>
      </c>
      <c r="I103" s="6">
        <v>2.77910669599498</v>
      </c>
      <c r="J103" s="6">
        <v>1.79490638330102</v>
      </c>
      <c r="K103" s="7">
        <v>17.6</v>
      </c>
      <c r="L103" s="7">
        <v>183.2</v>
      </c>
      <c r="M103" s="7">
        <v>115.4</v>
      </c>
      <c r="N103" s="7">
        <v>574.0</v>
      </c>
      <c r="O103" s="8">
        <v>0.00805805582286487</v>
      </c>
      <c r="P103" s="8">
        <v>0.00698431054405628</v>
      </c>
      <c r="Q103" s="8">
        <v>0.0183868886293114</v>
      </c>
      <c r="R103" s="8">
        <v>0.0171162895595708</v>
      </c>
      <c r="S103" s="8">
        <v>0.0182384437899896</v>
      </c>
      <c r="T103" s="8">
        <v>0.00950232778747685</v>
      </c>
      <c r="U103" s="8">
        <v>0.632299897791424</v>
      </c>
      <c r="V103" s="8">
        <v>0.514203636310949</v>
      </c>
    </row>
    <row r="104">
      <c r="B104" s="4" t="s">
        <v>19</v>
      </c>
      <c r="C104" s="5">
        <v>0.832931768572493</v>
      </c>
      <c r="D104" s="5">
        <v>0.538302398175737</v>
      </c>
      <c r="E104" s="5">
        <v>0.525499954453296</v>
      </c>
      <c r="F104" s="5">
        <v>0.504987430138674</v>
      </c>
      <c r="G104" s="5">
        <v>0.499769084621865</v>
      </c>
      <c r="H104" s="5">
        <v>0.467924384524254</v>
      </c>
      <c r="I104" s="6">
        <v>1.29789439274791</v>
      </c>
      <c r="J104" s="6">
        <v>15.4089287500027</v>
      </c>
      <c r="K104" s="7">
        <v>106.4</v>
      </c>
      <c r="L104" s="7">
        <v>573.6</v>
      </c>
      <c r="M104" s="7">
        <v>174.8</v>
      </c>
      <c r="N104" s="7">
        <v>565.8</v>
      </c>
      <c r="O104" s="8">
        <v>0.00589291015852144</v>
      </c>
      <c r="P104" s="8">
        <v>0.0651537113548682</v>
      </c>
      <c r="Q104" s="8">
        <v>0.0314346646774095</v>
      </c>
      <c r="R104" s="8">
        <v>0.0474435452122745</v>
      </c>
      <c r="S104" s="8">
        <v>0.0066321211938367</v>
      </c>
      <c r="T104" s="8">
        <v>0.00950642343354516</v>
      </c>
      <c r="U104" s="8">
        <v>0.452514224106592</v>
      </c>
      <c r="V104" s="8">
        <v>0.666483075372451</v>
      </c>
    </row>
    <row r="105">
      <c r="B105" s="4" t="s">
        <v>42</v>
      </c>
      <c r="C105" s="5">
        <v>0.921461997778982</v>
      </c>
      <c r="D105" s="5">
        <v>0.832288615931924</v>
      </c>
      <c r="E105" s="5">
        <v>0.662972921617028</v>
      </c>
      <c r="F105" s="5">
        <v>0.460730998889491</v>
      </c>
      <c r="G105" s="5">
        <v>0.5</v>
      </c>
      <c r="H105" s="5">
        <v>0.479562434133847</v>
      </c>
      <c r="I105" s="6">
        <v>0.0</v>
      </c>
      <c r="J105" s="6">
        <v>7.85380022210178</v>
      </c>
      <c r="K105" s="7">
        <v>101.6</v>
      </c>
      <c r="L105" s="7">
        <v>1192.0</v>
      </c>
      <c r="M105" s="7">
        <v>22.8</v>
      </c>
      <c r="N105" s="7">
        <v>372.8</v>
      </c>
      <c r="O105" s="8">
        <v>0.00192628994549201</v>
      </c>
      <c r="P105" s="8">
        <v>0.0217566914416552</v>
      </c>
      <c r="Q105" s="8">
        <v>0.0355298184773091</v>
      </c>
      <c r="R105" s="8">
        <v>9.63144972745962E-4</v>
      </c>
      <c r="S105" s="8">
        <v>0.0</v>
      </c>
      <c r="T105" s="8">
        <v>5.21743361476754E-4</v>
      </c>
      <c r="U105" s="8">
        <v>0.0</v>
      </c>
      <c r="V105" s="8">
        <v>0.192628994549196</v>
      </c>
    </row>
    <row r="106">
      <c r="B106" s="4" t="s">
        <v>20</v>
      </c>
      <c r="C106" s="5">
        <v>0.870209149222731</v>
      </c>
      <c r="D106" s="5">
        <v>0.893962839453971</v>
      </c>
      <c r="E106" s="5">
        <v>0.810856938117615</v>
      </c>
      <c r="F106" s="5">
        <v>0.800200346350911</v>
      </c>
      <c r="G106" s="5">
        <v>0.835440998088607</v>
      </c>
      <c r="H106" s="5">
        <v>0.814128681691251</v>
      </c>
      <c r="I106" s="6">
        <v>8.36378017284284</v>
      </c>
      <c r="J106" s="6">
        <v>4.61530490488401</v>
      </c>
      <c r="K106" s="7">
        <v>284.8</v>
      </c>
      <c r="L106" s="7">
        <v>1097.6</v>
      </c>
      <c r="M106" s="7">
        <v>164.8</v>
      </c>
      <c r="N106" s="7">
        <v>618.6</v>
      </c>
      <c r="O106" s="8">
        <v>0.0172463030376309</v>
      </c>
      <c r="P106" s="8">
        <v>0.00490760537790278</v>
      </c>
      <c r="Q106" s="8">
        <v>0.0246395918750134</v>
      </c>
      <c r="R106" s="8">
        <v>0.0225116690895788</v>
      </c>
      <c r="S106" s="8">
        <v>0.0157388682530635</v>
      </c>
      <c r="T106" s="8">
        <v>0.0182818684578631</v>
      </c>
      <c r="U106" s="8">
        <v>2.06049992567248</v>
      </c>
      <c r="V106" s="8">
        <v>0.811178733805172</v>
      </c>
    </row>
    <row r="107">
      <c r="B107" s="4" t="s">
        <v>21</v>
      </c>
      <c r="C107" s="5">
        <v>0.823175425985637</v>
      </c>
      <c r="D107" s="5">
        <v>0.945234870506459</v>
      </c>
      <c r="E107" s="5">
        <v>0.93629347066964</v>
      </c>
      <c r="F107" s="5">
        <v>0.807527948693137</v>
      </c>
      <c r="G107" s="5">
        <v>0.86622988739468</v>
      </c>
      <c r="H107" s="5">
        <v>0.809466512092894</v>
      </c>
      <c r="I107" s="6">
        <v>0.966026575753219</v>
      </c>
      <c r="J107" s="6">
        <v>16.716430825683</v>
      </c>
      <c r="K107" s="7">
        <v>104.0</v>
      </c>
      <c r="L107" s="7">
        <v>40.8</v>
      </c>
      <c r="M107" s="7">
        <v>70.0</v>
      </c>
      <c r="N107" s="7">
        <v>189.4</v>
      </c>
      <c r="O107" s="8">
        <v>0.0638445106663263</v>
      </c>
      <c r="P107" s="8">
        <v>0.0490418402333313</v>
      </c>
      <c r="Q107" s="8">
        <v>0.0629145848376308</v>
      </c>
      <c r="R107" s="8">
        <v>0.0474860679464319</v>
      </c>
      <c r="S107" s="8">
        <v>0.0437307698789673</v>
      </c>
      <c r="T107" s="8">
        <v>0.0621206141831162</v>
      </c>
      <c r="U107" s="8">
        <v>0.33411179224268</v>
      </c>
      <c r="V107" s="8">
        <v>6.43008504055035</v>
      </c>
    </row>
    <row r="108">
      <c r="B108" s="4" t="s">
        <v>43</v>
      </c>
      <c r="C108" s="5">
        <v>0.92470516510234</v>
      </c>
      <c r="D108" s="5">
        <v>0.614227370652227</v>
      </c>
      <c r="E108" s="5">
        <v>0.595361616996728</v>
      </c>
      <c r="F108" s="5">
        <v>0.662283947006611</v>
      </c>
      <c r="G108" s="5">
        <v>0.512508884150675</v>
      </c>
      <c r="H108" s="5">
        <v>0.503589108208396</v>
      </c>
      <c r="I108" s="6">
        <v>0.0</v>
      </c>
      <c r="J108" s="6">
        <v>7.52948348976592</v>
      </c>
      <c r="K108" s="7">
        <v>64.8</v>
      </c>
      <c r="L108" s="7">
        <v>774.4</v>
      </c>
      <c r="M108" s="7">
        <v>38.0</v>
      </c>
      <c r="N108" s="7">
        <v>635.6</v>
      </c>
      <c r="O108" s="8">
        <v>0.00404897522775862</v>
      </c>
      <c r="P108" s="8">
        <v>0.128293276318567</v>
      </c>
      <c r="Q108" s="8">
        <v>0.0360568356564202</v>
      </c>
      <c r="R108" s="8">
        <v>0.245659822333477</v>
      </c>
      <c r="S108" s="8">
        <v>0.0184823134150949</v>
      </c>
      <c r="T108" s="8">
        <v>0.0345634625916904</v>
      </c>
      <c r="U108" s="8">
        <v>0.0</v>
      </c>
      <c r="V108" s="8">
        <v>0.404897522775863</v>
      </c>
    </row>
    <row r="109">
      <c r="B109" s="4" t="s">
        <v>22</v>
      </c>
      <c r="C109" s="5">
        <v>0.562921005903406</v>
      </c>
      <c r="D109" s="5">
        <v>0.456205796474709</v>
      </c>
      <c r="E109" s="5">
        <v>0.472931587609014</v>
      </c>
      <c r="F109" s="5">
        <v>0.433614410656167</v>
      </c>
      <c r="G109" s="5">
        <v>0.467880766426144</v>
      </c>
      <c r="H109" s="5">
        <v>0.420105980701449</v>
      </c>
      <c r="I109" s="6">
        <v>9.59279822743402</v>
      </c>
      <c r="J109" s="6">
        <v>34.1151011822253</v>
      </c>
      <c r="K109" s="7">
        <v>363.2</v>
      </c>
      <c r="L109" s="7">
        <v>606.4</v>
      </c>
      <c r="M109" s="7">
        <v>107.8</v>
      </c>
      <c r="N109" s="7">
        <v>606.4</v>
      </c>
      <c r="O109" s="8">
        <v>0.00624313257050986</v>
      </c>
      <c r="P109" s="8">
        <v>0.038502873457116</v>
      </c>
      <c r="Q109" s="8">
        <v>0.0220416524454509</v>
      </c>
      <c r="R109" s="8">
        <v>0.0148969236145878</v>
      </c>
      <c r="S109" s="8">
        <v>0.00857272257042996</v>
      </c>
      <c r="T109" s="8">
        <v>0.0074115905886097</v>
      </c>
      <c r="U109" s="8">
        <v>0.928542781488864</v>
      </c>
      <c r="V109" s="8">
        <v>0.441860199478936</v>
      </c>
    </row>
    <row r="110">
      <c r="B110" s="4" t="s">
        <v>23</v>
      </c>
      <c r="C110" s="5">
        <v>0.851853169800859</v>
      </c>
      <c r="D110" s="5">
        <v>0.429057323840556</v>
      </c>
      <c r="E110" s="5">
        <v>0.47197229283073</v>
      </c>
      <c r="F110" s="5">
        <v>0.425926584900429</v>
      </c>
      <c r="G110" s="5">
        <v>0.5</v>
      </c>
      <c r="H110" s="5">
        <v>0.459996639510761</v>
      </c>
      <c r="I110" s="6">
        <v>0.0</v>
      </c>
      <c r="J110" s="6">
        <v>14.814683019914</v>
      </c>
      <c r="K110" s="7">
        <v>127.2</v>
      </c>
      <c r="L110" s="7">
        <v>731.2</v>
      </c>
      <c r="M110" s="7">
        <v>79.2</v>
      </c>
      <c r="N110" s="7">
        <v>768.8</v>
      </c>
      <c r="O110" s="8">
        <v>0.00488132436084362</v>
      </c>
      <c r="P110" s="8">
        <v>0.0693646622400133</v>
      </c>
      <c r="Q110" s="8">
        <v>0.0244726727647181</v>
      </c>
      <c r="R110" s="8">
        <v>0.00244066218042178</v>
      </c>
      <c r="S110" s="8">
        <v>0.0</v>
      </c>
      <c r="T110" s="8">
        <v>0.00142068738958472</v>
      </c>
      <c r="U110" s="8">
        <v>0.0</v>
      </c>
      <c r="V110" s="8">
        <v>0.48813243608436</v>
      </c>
    </row>
    <row r="111">
      <c r="B111" s="4" t="s">
        <v>24</v>
      </c>
      <c r="C111" s="5">
        <v>0.936264297838639</v>
      </c>
      <c r="D111" s="5">
        <v>0.853612878376874</v>
      </c>
      <c r="E111" s="5">
        <v>0.696529855648246</v>
      </c>
      <c r="F111" s="5">
        <v>0.468132148919319</v>
      </c>
      <c r="G111" s="5">
        <v>0.5</v>
      </c>
      <c r="H111" s="5">
        <v>0.483531299749648</v>
      </c>
      <c r="I111" s="6">
        <v>0.0</v>
      </c>
      <c r="J111" s="6">
        <v>6.37357021613604</v>
      </c>
      <c r="K111" s="7">
        <v>25.6</v>
      </c>
      <c r="L111" s="7">
        <v>375.2</v>
      </c>
      <c r="M111" s="7">
        <v>128.4</v>
      </c>
      <c r="N111" s="7">
        <v>327.0</v>
      </c>
      <c r="O111" s="8">
        <v>0.00864450601757729</v>
      </c>
      <c r="P111" s="8">
        <v>0.0632683350833947</v>
      </c>
      <c r="Q111" s="8">
        <v>0.0622819490989459</v>
      </c>
      <c r="R111" s="8">
        <v>0.00432225300878865</v>
      </c>
      <c r="S111" s="8">
        <v>0.0</v>
      </c>
      <c r="T111" s="8">
        <v>0.00230265048666785</v>
      </c>
      <c r="U111" s="8">
        <v>0.0</v>
      </c>
      <c r="V111" s="8">
        <v>0.864450601757729</v>
      </c>
    </row>
    <row r="112">
      <c r="B112" s="4" t="s">
        <v>25</v>
      </c>
      <c r="C112" s="5">
        <v>0.826297107199116</v>
      </c>
      <c r="D112" s="5">
        <v>0.893698080522333</v>
      </c>
      <c r="E112" s="5">
        <v>0.880329219552998</v>
      </c>
      <c r="F112" s="5">
        <v>0.831199880502178</v>
      </c>
      <c r="G112" s="5">
        <v>0.830847385028128</v>
      </c>
      <c r="H112" s="5">
        <v>0.826212297489441</v>
      </c>
      <c r="I112" s="6">
        <v>4.98065030931879</v>
      </c>
      <c r="J112" s="6">
        <v>12.3896389707696</v>
      </c>
      <c r="K112" s="7">
        <v>451.2</v>
      </c>
      <c r="L112" s="7">
        <v>388.0</v>
      </c>
      <c r="M112" s="7">
        <v>400.8</v>
      </c>
      <c r="N112" s="7">
        <v>447.2</v>
      </c>
      <c r="O112" s="8">
        <v>0.0111123441977618</v>
      </c>
      <c r="P112" s="8">
        <v>0.0146373282863639</v>
      </c>
      <c r="Q112" s="8">
        <v>0.0191629640340006</v>
      </c>
      <c r="R112" s="8">
        <v>0.00918833951215047</v>
      </c>
      <c r="S112" s="8">
        <v>0.0104153506991361</v>
      </c>
      <c r="T112" s="8">
        <v>0.0110794579790336</v>
      </c>
      <c r="U112" s="8">
        <v>0.628234331518283</v>
      </c>
      <c r="V112" s="8">
        <v>1.33057062616712</v>
      </c>
    </row>
    <row r="113">
      <c r="B113" s="4" t="s">
        <v>26</v>
      </c>
      <c r="C113" s="5">
        <v>0.328753245547779</v>
      </c>
      <c r="D113" s="5">
        <v>0.605620685783323</v>
      </c>
      <c r="E113" s="5">
        <v>0.593828359163569</v>
      </c>
      <c r="F113" s="5">
        <v>0.518742623291654</v>
      </c>
      <c r="G113" s="5">
        <v>0.510453395255533</v>
      </c>
      <c r="H113" s="5">
        <v>0.266803175819846</v>
      </c>
      <c r="I113" s="6">
        <v>0.222884670608162</v>
      </c>
      <c r="J113" s="6">
        <v>66.9017907746139</v>
      </c>
      <c r="K113" s="7">
        <v>489.6</v>
      </c>
      <c r="L113" s="7">
        <v>221.6</v>
      </c>
      <c r="M113" s="7">
        <v>328.0</v>
      </c>
      <c r="N113" s="7">
        <v>382.8</v>
      </c>
      <c r="O113" s="8">
        <v>0.00897640481911793</v>
      </c>
      <c r="P113" s="8">
        <v>0.0656953089143772</v>
      </c>
      <c r="Q113" s="8">
        <v>0.0534486764536762</v>
      </c>
      <c r="R113" s="8">
        <v>0.182222756589011</v>
      </c>
      <c r="S113" s="8">
        <v>0.00622246480750227</v>
      </c>
      <c r="T113" s="8">
        <v>0.0147741526684862</v>
      </c>
      <c r="U113" s="8">
        <v>0.207054660895875</v>
      </c>
      <c r="V113" s="8">
        <v>1.00506847958264</v>
      </c>
    </row>
    <row r="114">
      <c r="B114" s="4" t="s">
        <v>27</v>
      </c>
      <c r="C114" s="5">
        <v>0.695017621679763</v>
      </c>
      <c r="D114" s="5">
        <v>0.8485126810623</v>
      </c>
      <c r="E114" s="5">
        <v>0.828856903041641</v>
      </c>
      <c r="F114" s="5">
        <v>0.752499170327274</v>
      </c>
      <c r="G114" s="5">
        <v>0.663265776725775</v>
      </c>
      <c r="H114" s="5">
        <v>0.649651761386394</v>
      </c>
      <c r="I114" s="6">
        <v>3.25491676100377</v>
      </c>
      <c r="J114" s="6">
        <v>27.2433210710198</v>
      </c>
      <c r="K114" s="7">
        <v>208.8</v>
      </c>
      <c r="L114" s="7">
        <v>263.2</v>
      </c>
      <c r="M114" s="7">
        <v>182.8</v>
      </c>
      <c r="N114" s="7">
        <v>512.6</v>
      </c>
      <c r="O114" s="8">
        <v>0.0220568086374123</v>
      </c>
      <c r="P114" s="8">
        <v>0.0198875167252504</v>
      </c>
      <c r="Q114" s="8">
        <v>0.0212095689717529</v>
      </c>
      <c r="R114" s="8">
        <v>0.0168369188496398</v>
      </c>
      <c r="S114" s="8">
        <v>0.0230340259676666</v>
      </c>
      <c r="T114" s="8">
        <v>0.0340778808553358</v>
      </c>
      <c r="U114" s="8">
        <v>1.29136674458647</v>
      </c>
      <c r="V114" s="8">
        <v>3.13081203837264</v>
      </c>
    </row>
    <row r="115">
      <c r="B115" s="4" t="s">
        <v>28</v>
      </c>
      <c r="C115" s="5">
        <v>0.359039343451135</v>
      </c>
      <c r="D115" s="5">
        <v>0.610774796272144</v>
      </c>
      <c r="E115" s="5">
        <v>0.607365854034002</v>
      </c>
      <c r="F115" s="5">
        <v>0.616632197311672</v>
      </c>
      <c r="G115" s="5">
        <v>0.515755970028471</v>
      </c>
      <c r="H115" s="5">
        <v>0.290301407346458</v>
      </c>
      <c r="I115" s="6">
        <v>0.184476615799632</v>
      </c>
      <c r="J115" s="6">
        <v>63.9115890390868</v>
      </c>
      <c r="K115" s="7">
        <v>497.6</v>
      </c>
      <c r="L115" s="7">
        <v>252.0</v>
      </c>
      <c r="M115" s="7">
        <v>535.8</v>
      </c>
      <c r="N115" s="7">
        <v>312.2</v>
      </c>
      <c r="O115" s="8">
        <v>0.0129068159122385</v>
      </c>
      <c r="P115" s="8">
        <v>0.0757855871590692</v>
      </c>
      <c r="Q115" s="8">
        <v>0.0789362875404488</v>
      </c>
      <c r="R115" s="8">
        <v>0.0583428952764434</v>
      </c>
      <c r="S115" s="8">
        <v>0.0110122984235518</v>
      </c>
      <c r="T115" s="8">
        <v>0.0243544411758304</v>
      </c>
      <c r="U115" s="8">
        <v>0.176586079890977</v>
      </c>
      <c r="V115" s="8">
        <v>1.42161007765914</v>
      </c>
    </row>
    <row r="116">
      <c r="B116" s="4" t="s">
        <v>29</v>
      </c>
      <c r="C116" s="5">
        <v>0.675801800426492</v>
      </c>
      <c r="D116" s="5">
        <v>0.717771260117472</v>
      </c>
      <c r="E116" s="5">
        <v>0.676211760436003</v>
      </c>
      <c r="F116" s="5">
        <v>0.6533907717578</v>
      </c>
      <c r="G116" s="5">
        <v>0.634807524178954</v>
      </c>
      <c r="H116" s="5">
        <v>0.637274170341471</v>
      </c>
      <c r="I116" s="6">
        <v>11.8569087782941</v>
      </c>
      <c r="J116" s="6">
        <v>20.5629111790566</v>
      </c>
      <c r="K116" s="7">
        <v>246.4</v>
      </c>
      <c r="L116" s="7">
        <v>399.2</v>
      </c>
      <c r="M116" s="7">
        <v>182.2</v>
      </c>
      <c r="N116" s="7">
        <v>577.4</v>
      </c>
      <c r="O116" s="8">
        <v>0.0145711959029241</v>
      </c>
      <c r="P116" s="8">
        <v>0.0112113981000233</v>
      </c>
      <c r="Q116" s="8">
        <v>0.0147768528579128</v>
      </c>
      <c r="R116" s="8">
        <v>0.0174939262323995</v>
      </c>
      <c r="S116" s="8">
        <v>0.0187388638506905</v>
      </c>
      <c r="T116" s="8">
        <v>0.01955125599884</v>
      </c>
      <c r="U116" s="8">
        <v>1.42689433240237</v>
      </c>
      <c r="V116" s="8">
        <v>1.87009709100336</v>
      </c>
    </row>
    <row r="117">
      <c r="B117" s="4" t="s">
        <v>44</v>
      </c>
      <c r="C117" s="5">
        <v>0.76842297731838</v>
      </c>
      <c r="D117" s="5">
        <v>0.559788530379931</v>
      </c>
      <c r="E117" s="5">
        <v>0.533249189965863</v>
      </c>
      <c r="F117" s="5">
        <v>0.38421148865919</v>
      </c>
      <c r="G117" s="5">
        <v>0.5</v>
      </c>
      <c r="H117" s="5">
        <v>0.434513366289745</v>
      </c>
      <c r="I117" s="6">
        <v>0.0</v>
      </c>
      <c r="J117" s="6">
        <v>23.1577022681619</v>
      </c>
      <c r="K117" s="7">
        <v>274.4</v>
      </c>
      <c r="L117" s="7">
        <v>910.4</v>
      </c>
      <c r="M117" s="7">
        <v>10.6</v>
      </c>
      <c r="N117" s="7">
        <v>369.2</v>
      </c>
      <c r="O117" s="8">
        <v>0.00783781114337687</v>
      </c>
      <c r="P117" s="8">
        <v>0.0178947111397458</v>
      </c>
      <c r="Q117" s="8">
        <v>0.00818564149988368</v>
      </c>
      <c r="R117" s="8">
        <v>0.00391890557168844</v>
      </c>
      <c r="S117" s="8">
        <v>0.0</v>
      </c>
      <c r="T117" s="8">
        <v>0.00249514797396067</v>
      </c>
      <c r="U117" s="8">
        <v>0.0</v>
      </c>
      <c r="V117" s="8">
        <v>0.783781114337687</v>
      </c>
    </row>
    <row r="118">
      <c r="B118" s="4" t="s">
        <v>30</v>
      </c>
      <c r="C118" s="5">
        <v>0.910700797183025</v>
      </c>
      <c r="D118" s="5">
        <v>0.930015546372108</v>
      </c>
      <c r="E118" s="5">
        <v>0.916512148432842</v>
      </c>
      <c r="F118" s="5">
        <v>0.903758812907536</v>
      </c>
      <c r="G118" s="5">
        <v>0.90219117374371</v>
      </c>
      <c r="H118" s="5">
        <v>0.902772318171834</v>
      </c>
      <c r="I118" s="6">
        <v>4.33946476953938</v>
      </c>
      <c r="J118" s="6">
        <v>4.59045551215809</v>
      </c>
      <c r="K118" s="7">
        <v>167.2</v>
      </c>
      <c r="L118" s="7">
        <v>298.4</v>
      </c>
      <c r="M118" s="7">
        <v>272.8</v>
      </c>
      <c r="N118" s="7">
        <v>486.2</v>
      </c>
      <c r="O118" s="8">
        <v>0.00313255858074076</v>
      </c>
      <c r="P118" s="8">
        <v>0.0069358212859377</v>
      </c>
      <c r="Q118" s="8">
        <v>0.0126001093414015</v>
      </c>
      <c r="R118" s="8">
        <v>0.00447730939399781</v>
      </c>
      <c r="S118" s="8">
        <v>0.00594648224013612</v>
      </c>
      <c r="T118" s="8">
        <v>0.00409524386858964</v>
      </c>
      <c r="U118" s="8">
        <v>0.662075562818223</v>
      </c>
      <c r="V118" s="8">
        <v>0.67247669270034</v>
      </c>
    </row>
    <row r="119">
      <c r="B119" s="4" t="s">
        <v>31</v>
      </c>
      <c r="C119" s="5">
        <f t="shared" ref="C119:V119" si="14">MEDIAN(C75:C118)</f>
        <v>0.8276209286</v>
      </c>
      <c r="D119" s="5">
        <f t="shared" si="14"/>
        <v>0.7862344625</v>
      </c>
      <c r="E119" s="5">
        <f t="shared" si="14"/>
        <v>0.6991041049</v>
      </c>
      <c r="F119" s="5">
        <f t="shared" si="14"/>
        <v>0.6561200007</v>
      </c>
      <c r="G119" s="5">
        <f t="shared" si="14"/>
        <v>0.6344612493</v>
      </c>
      <c r="H119" s="5">
        <f t="shared" si="14"/>
        <v>0.6107333851</v>
      </c>
      <c r="I119" s="6">
        <f t="shared" si="14"/>
        <v>4.626874728</v>
      </c>
      <c r="J119" s="6">
        <f t="shared" si="14"/>
        <v>9.812074154</v>
      </c>
      <c r="K119" s="9">
        <f t="shared" si="14"/>
        <v>157.2</v>
      </c>
      <c r="L119" s="9">
        <f t="shared" si="14"/>
        <v>470.6</v>
      </c>
      <c r="M119" s="9">
        <f t="shared" si="14"/>
        <v>168.9</v>
      </c>
      <c r="N119" s="9">
        <f t="shared" si="14"/>
        <v>481.6</v>
      </c>
      <c r="O119" s="8">
        <f t="shared" si="14"/>
        <v>0.006490355645</v>
      </c>
      <c r="P119" s="8">
        <f t="shared" si="14"/>
        <v>0.01191708017</v>
      </c>
      <c r="Q119" s="8">
        <f t="shared" si="14"/>
        <v>0.0136884811</v>
      </c>
      <c r="R119" s="8">
        <f t="shared" si="14"/>
        <v>0.008846794859</v>
      </c>
      <c r="S119" s="8">
        <f t="shared" si="14"/>
        <v>0.007574170433</v>
      </c>
      <c r="T119" s="8">
        <f t="shared" si="14"/>
        <v>0.008013446169</v>
      </c>
      <c r="U119" s="8">
        <f t="shared" si="14"/>
        <v>0.3407411837</v>
      </c>
      <c r="V119" s="8">
        <f t="shared" si="14"/>
        <v>0.5133705797</v>
      </c>
    </row>
    <row r="120">
      <c r="B120" s="4" t="s">
        <v>32</v>
      </c>
      <c r="C120" s="5">
        <f t="shared" ref="C120:V120" si="15">AVERAGE(C99:C118)</f>
        <v>0.7834817126</v>
      </c>
      <c r="D120" s="5">
        <f t="shared" si="15"/>
        <v>0.7487675965</v>
      </c>
      <c r="E120" s="5">
        <f t="shared" si="15"/>
        <v>0.7048673501</v>
      </c>
      <c r="F120" s="5">
        <f t="shared" si="15"/>
        <v>0.6491293132</v>
      </c>
      <c r="G120" s="5">
        <f t="shared" si="15"/>
        <v>0.6569680406</v>
      </c>
      <c r="H120" s="5">
        <f t="shared" si="15"/>
        <v>0.6128021759</v>
      </c>
      <c r="I120" s="6">
        <f t="shared" si="15"/>
        <v>3.855127165</v>
      </c>
      <c r="J120" s="6">
        <f t="shared" si="15"/>
        <v>17.79670158</v>
      </c>
      <c r="K120" s="9">
        <f t="shared" si="15"/>
        <v>209.52</v>
      </c>
      <c r="L120" s="9">
        <f t="shared" si="15"/>
        <v>510.2</v>
      </c>
      <c r="M120" s="9">
        <f t="shared" si="15"/>
        <v>186.34</v>
      </c>
      <c r="N120" s="9">
        <f t="shared" si="15"/>
        <v>460.16</v>
      </c>
      <c r="O120" s="8">
        <f t="shared" si="15"/>
        <v>0.01339931309</v>
      </c>
      <c r="P120" s="8">
        <f t="shared" si="15"/>
        <v>0.03712222398</v>
      </c>
      <c r="Q120" s="8">
        <f t="shared" si="15"/>
        <v>0.03032063828</v>
      </c>
      <c r="R120" s="8">
        <f t="shared" si="15"/>
        <v>0.0396145711</v>
      </c>
      <c r="S120" s="8">
        <f t="shared" si="15"/>
        <v>0.01481368392</v>
      </c>
      <c r="T120" s="8">
        <f t="shared" si="15"/>
        <v>0.01752927682</v>
      </c>
      <c r="U120" s="8">
        <f t="shared" si="15"/>
        <v>0.7529946791</v>
      </c>
      <c r="V120" s="8">
        <f t="shared" si="15"/>
        <v>1.303907177</v>
      </c>
    </row>
    <row r="121">
      <c r="B121" s="1" t="s">
        <v>34</v>
      </c>
      <c r="O121" s="2" t="s">
        <v>1</v>
      </c>
    </row>
    <row r="122">
      <c r="B122" s="3" t="s">
        <v>2</v>
      </c>
      <c r="C122" s="3" t="s">
        <v>3</v>
      </c>
      <c r="D122" s="3" t="s">
        <v>4</v>
      </c>
      <c r="E122" s="3" t="s">
        <v>5</v>
      </c>
      <c r="F122" s="3" t="s">
        <v>6</v>
      </c>
      <c r="G122" s="3" t="s">
        <v>7</v>
      </c>
      <c r="H122" s="3" t="s">
        <v>8</v>
      </c>
      <c r="I122" s="3" t="s">
        <v>9</v>
      </c>
      <c r="J122" s="3" t="s">
        <v>10</v>
      </c>
      <c r="K122" s="3" t="s">
        <v>11</v>
      </c>
      <c r="L122" s="3" t="s">
        <v>12</v>
      </c>
      <c r="M122" s="3" t="s">
        <v>13</v>
      </c>
      <c r="N122" s="3" t="s">
        <v>14</v>
      </c>
      <c r="O122" s="3" t="s">
        <v>3</v>
      </c>
      <c r="P122" s="3" t="s">
        <v>4</v>
      </c>
      <c r="Q122" s="3" t="s">
        <v>5</v>
      </c>
      <c r="R122" s="3" t="s">
        <v>6</v>
      </c>
      <c r="S122" s="3" t="s">
        <v>7</v>
      </c>
      <c r="T122" s="3" t="s">
        <v>8</v>
      </c>
      <c r="U122" s="3" t="s">
        <v>9</v>
      </c>
      <c r="V122" s="3" t="s">
        <v>10</v>
      </c>
    </row>
    <row r="123">
      <c r="B123" s="4" t="s">
        <v>15</v>
      </c>
      <c r="C123" s="5">
        <v>0.819279915034291</v>
      </c>
      <c r="D123" s="5">
        <v>0.910719631724772</v>
      </c>
      <c r="E123" s="5">
        <v>0.888339367919164</v>
      </c>
      <c r="F123" s="5">
        <v>0.824993798483757</v>
      </c>
      <c r="G123" s="5">
        <v>0.788760814388205</v>
      </c>
      <c r="H123" s="5">
        <v>0.795407405614678</v>
      </c>
      <c r="I123" s="6">
        <v>12.3775853810074</v>
      </c>
      <c r="J123" s="6">
        <v>5.69442311556345</v>
      </c>
      <c r="K123" s="7">
        <v>429.6</v>
      </c>
      <c r="L123" s="7">
        <v>256.0</v>
      </c>
      <c r="M123" s="7">
        <v>454.333333333333</v>
      </c>
      <c r="N123" s="7">
        <v>195.333333333333</v>
      </c>
      <c r="O123" s="8">
        <v>0.0278034088979777</v>
      </c>
      <c r="P123" s="8">
        <v>0.00731743954431625</v>
      </c>
      <c r="Q123" s="8">
        <v>0.0109604648096693</v>
      </c>
      <c r="R123" s="8">
        <v>0.017291853695229</v>
      </c>
      <c r="S123" s="8">
        <v>0.047431254589664</v>
      </c>
      <c r="T123" s="8">
        <v>0.041751268473302</v>
      </c>
      <c r="U123" s="8">
        <v>4.82490956281739</v>
      </c>
      <c r="V123" s="8">
        <v>2.47518608208483</v>
      </c>
    </row>
    <row r="124">
      <c r="B124" s="4" t="s">
        <v>41</v>
      </c>
      <c r="C124" s="5">
        <v>0.912458999936238</v>
      </c>
      <c r="D124" s="5">
        <v>0.906355364343936</v>
      </c>
      <c r="E124" s="5">
        <v>0.77442818143304</v>
      </c>
      <c r="F124" s="5">
        <v>0.72949187186774</v>
      </c>
      <c r="G124" s="5">
        <v>0.64030611366038</v>
      </c>
      <c r="H124" s="5">
        <v>0.656313929286007</v>
      </c>
      <c r="I124" s="6">
        <v>2.0328896664259</v>
      </c>
      <c r="J124" s="6">
        <v>6.72121033995025</v>
      </c>
      <c r="K124" s="7">
        <v>58.4</v>
      </c>
      <c r="L124" s="7">
        <v>553.6</v>
      </c>
      <c r="M124" s="7">
        <v>33.6666666666666</v>
      </c>
      <c r="N124" s="7">
        <v>253.333333333333</v>
      </c>
      <c r="O124" s="8">
        <v>0.0159207770855431</v>
      </c>
      <c r="P124" s="8">
        <v>0.0140637760353409</v>
      </c>
      <c r="Q124" s="8">
        <v>0.0398760417047222</v>
      </c>
      <c r="R124" s="8">
        <v>0.0862960986329279</v>
      </c>
      <c r="S124" s="8">
        <v>0.101776451909755</v>
      </c>
      <c r="T124" s="8">
        <v>0.106272255264634</v>
      </c>
      <c r="U124" s="8">
        <v>1.08066748145217</v>
      </c>
      <c r="V124" s="8">
        <v>2.25718504502703</v>
      </c>
    </row>
    <row r="125">
      <c r="B125" s="4" t="s">
        <v>16</v>
      </c>
      <c r="C125" s="5">
        <v>0.89809603927173</v>
      </c>
      <c r="D125" s="5">
        <v>0.802987227524344</v>
      </c>
      <c r="E125" s="5">
        <v>0.681886437616712</v>
      </c>
      <c r="F125" s="5">
        <v>0.719039324347698</v>
      </c>
      <c r="G125" s="5">
        <v>0.670850099942242</v>
      </c>
      <c r="H125" s="5">
        <v>0.688531797700213</v>
      </c>
      <c r="I125" s="6">
        <v>3.91374721243426</v>
      </c>
      <c r="J125" s="6">
        <v>6.27664886039264</v>
      </c>
      <c r="K125" s="7">
        <v>67.2</v>
      </c>
      <c r="L125" s="7">
        <v>592.8</v>
      </c>
      <c r="M125" s="7">
        <v>92.3333333333333</v>
      </c>
      <c r="N125" s="7">
        <v>356.0</v>
      </c>
      <c r="O125" s="8">
        <v>0.00793584467533214</v>
      </c>
      <c r="P125" s="8">
        <v>0.042568106159197</v>
      </c>
      <c r="Q125" s="8">
        <v>0.0289104897441679</v>
      </c>
      <c r="R125" s="8">
        <v>0.0281551726723505</v>
      </c>
      <c r="S125" s="8">
        <v>0.0286128799546894</v>
      </c>
      <c r="T125" s="8">
        <v>0.0210578362713009</v>
      </c>
      <c r="U125" s="8">
        <v>0.977718421693531</v>
      </c>
      <c r="V125" s="8">
        <v>0.799818039954664</v>
      </c>
    </row>
    <row r="126">
      <c r="B126" s="4" t="s">
        <v>17</v>
      </c>
      <c r="C126" s="5">
        <v>0.867535774815776</v>
      </c>
      <c r="D126" s="5">
        <v>0.844532687149072</v>
      </c>
      <c r="E126" s="5">
        <v>0.779435544531042</v>
      </c>
      <c r="F126" s="5">
        <v>0.772868401531045</v>
      </c>
      <c r="G126" s="5">
        <v>0.776808289965504</v>
      </c>
      <c r="H126" s="5">
        <v>0.772624754384326</v>
      </c>
      <c r="I126" s="6">
        <v>6.84013208368148</v>
      </c>
      <c r="J126" s="6">
        <v>6.40629043474089</v>
      </c>
      <c r="K126" s="7">
        <v>104.8</v>
      </c>
      <c r="L126" s="7">
        <v>494.4</v>
      </c>
      <c r="M126" s="7">
        <v>148.0</v>
      </c>
      <c r="N126" s="7">
        <v>368.0</v>
      </c>
      <c r="O126" s="8">
        <v>0.0186194929015098</v>
      </c>
      <c r="P126" s="8">
        <v>0.0494868052000142</v>
      </c>
      <c r="Q126" s="8">
        <v>0.0438626776694167</v>
      </c>
      <c r="R126" s="8">
        <v>0.024498360793554</v>
      </c>
      <c r="S126" s="8">
        <v>0.0377368327864889</v>
      </c>
      <c r="T126" s="8">
        <v>0.0281141444623603</v>
      </c>
      <c r="U126" s="8">
        <v>1.86122563461379</v>
      </c>
      <c r="V126" s="8">
        <v>1.7342222693247</v>
      </c>
    </row>
    <row r="127">
      <c r="B127" s="4" t="s">
        <v>18</v>
      </c>
      <c r="C127" s="5">
        <v>0.957235257003792</v>
      </c>
      <c r="D127" s="5">
        <v>0.961520770738795</v>
      </c>
      <c r="E127" s="5">
        <v>0.903836359778844</v>
      </c>
      <c r="F127" s="5">
        <v>0.855804843634883</v>
      </c>
      <c r="G127" s="5">
        <v>0.907809074189551</v>
      </c>
      <c r="H127" s="5">
        <v>0.875618097914812</v>
      </c>
      <c r="I127" s="6">
        <v>2.88096063138852</v>
      </c>
      <c r="J127" s="6">
        <v>1.39551366823226</v>
      </c>
      <c r="K127" s="7">
        <v>17.6</v>
      </c>
      <c r="L127" s="7">
        <v>183.2</v>
      </c>
      <c r="M127" s="7">
        <v>98.6666666666666</v>
      </c>
      <c r="N127" s="7">
        <v>264.0</v>
      </c>
      <c r="O127" s="8">
        <v>0.00840356828433785</v>
      </c>
      <c r="P127" s="8">
        <v>0.0178544349148885</v>
      </c>
      <c r="Q127" s="8">
        <v>0.0311210713928317</v>
      </c>
      <c r="R127" s="8">
        <v>0.0455863688878153</v>
      </c>
      <c r="S127" s="8">
        <v>0.0246208034513663</v>
      </c>
      <c r="T127" s="8">
        <v>0.0224514083640729</v>
      </c>
      <c r="U127" s="8">
        <v>1.23131767853766</v>
      </c>
      <c r="V127" s="8">
        <v>0.661174631398262</v>
      </c>
    </row>
    <row r="128">
      <c r="B128" s="4" t="s">
        <v>19</v>
      </c>
      <c r="C128" s="5">
        <v>0.839998928198255</v>
      </c>
      <c r="D128" s="5">
        <v>0.732167389334553</v>
      </c>
      <c r="E128" s="5">
        <v>0.634814432003952</v>
      </c>
      <c r="F128" s="5">
        <v>0.637944628750972</v>
      </c>
      <c r="G128" s="5">
        <v>0.535514953552228</v>
      </c>
      <c r="H128" s="5">
        <v>0.528345131166277</v>
      </c>
      <c r="I128" s="6">
        <v>1.76867540226891</v>
      </c>
      <c r="J128" s="6">
        <v>14.2314317779055</v>
      </c>
      <c r="K128" s="7">
        <v>106.4</v>
      </c>
      <c r="L128" s="7">
        <v>573.6</v>
      </c>
      <c r="M128" s="7">
        <v>85.3333333333333</v>
      </c>
      <c r="N128" s="7">
        <v>478.333333333333</v>
      </c>
      <c r="O128" s="8">
        <v>0.00742816476170406</v>
      </c>
      <c r="P128" s="8">
        <v>0.0364127015871732</v>
      </c>
      <c r="Q128" s="8">
        <v>0.0284529454706547</v>
      </c>
      <c r="R128" s="8">
        <v>0.0736174981422178</v>
      </c>
      <c r="S128" s="8">
        <v>0.0260878065412358</v>
      </c>
      <c r="T128" s="8">
        <v>0.043677516191345</v>
      </c>
      <c r="U128" s="8">
        <v>0.918935100815702</v>
      </c>
      <c r="V128" s="8">
        <v>1.40053680598368</v>
      </c>
    </row>
    <row r="129">
      <c r="B129" s="4" t="s">
        <v>42</v>
      </c>
      <c r="C129" s="5">
        <v>0.921461997778982</v>
      </c>
      <c r="D129" s="5">
        <v>0.781423419269566</v>
      </c>
      <c r="E129" s="5">
        <v>0.626779580638749</v>
      </c>
      <c r="F129" s="5">
        <v>0.460730998889491</v>
      </c>
      <c r="G129" s="5">
        <v>0.5</v>
      </c>
      <c r="H129" s="5">
        <v>0.479562434133847</v>
      </c>
      <c r="I129" s="6">
        <v>0.0</v>
      </c>
      <c r="J129" s="6">
        <v>7.85380022210178</v>
      </c>
      <c r="K129" s="7">
        <v>101.6</v>
      </c>
      <c r="L129" s="7">
        <v>1192.0</v>
      </c>
      <c r="M129" s="7">
        <v>45.6666666666666</v>
      </c>
      <c r="N129" s="7">
        <v>670.666666666666</v>
      </c>
      <c r="O129" s="8">
        <v>0.00192628994549201</v>
      </c>
      <c r="P129" s="8">
        <v>0.0522931775540595</v>
      </c>
      <c r="Q129" s="8">
        <v>0.0550451432575011</v>
      </c>
      <c r="R129" s="8">
        <v>9.63144972745962E-4</v>
      </c>
      <c r="S129" s="8">
        <v>0.0</v>
      </c>
      <c r="T129" s="8">
        <v>5.21743361476754E-4</v>
      </c>
      <c r="U129" s="8">
        <v>0.0</v>
      </c>
      <c r="V129" s="8">
        <v>0.192628994549196</v>
      </c>
    </row>
    <row r="130">
      <c r="B130" s="4" t="s">
        <v>20</v>
      </c>
      <c r="C130" s="5">
        <v>0.892953996684793</v>
      </c>
      <c r="D130" s="5">
        <v>0.91380440455363</v>
      </c>
      <c r="E130" s="5">
        <v>0.857860784087873</v>
      </c>
      <c r="F130" s="5">
        <v>0.836208442001557</v>
      </c>
      <c r="G130" s="5">
        <v>0.839935070143853</v>
      </c>
      <c r="H130" s="5">
        <v>0.837359013951092</v>
      </c>
      <c r="I130" s="6">
        <v>5.54064265331634</v>
      </c>
      <c r="J130" s="6">
        <v>5.16395767820426</v>
      </c>
      <c r="K130" s="7">
        <v>284.8</v>
      </c>
      <c r="L130" s="7">
        <v>1097.6</v>
      </c>
      <c r="M130" s="7">
        <v>199.333333333333</v>
      </c>
      <c r="N130" s="7">
        <v>558.333333333333</v>
      </c>
      <c r="O130" s="8">
        <v>0.00735047695993643</v>
      </c>
      <c r="P130" s="8">
        <v>0.00904063851180237</v>
      </c>
      <c r="Q130" s="8">
        <v>0.0113402307334465</v>
      </c>
      <c r="R130" s="8">
        <v>0.0128469448020959</v>
      </c>
      <c r="S130" s="8">
        <v>0.0175657402541285</v>
      </c>
      <c r="T130" s="8">
        <v>0.0116978526227733</v>
      </c>
      <c r="U130" s="8">
        <v>0.992750047946622</v>
      </c>
      <c r="V130" s="8">
        <v>0.907061102008007</v>
      </c>
    </row>
    <row r="131">
      <c r="B131" s="4" t="s">
        <v>21</v>
      </c>
      <c r="C131" s="5">
        <v>0.965271172632861</v>
      </c>
      <c r="D131" s="5">
        <v>0.980680576675211</v>
      </c>
      <c r="E131" s="5">
        <v>0.98002495109883</v>
      </c>
      <c r="F131" s="5">
        <v>0.949839636148056</v>
      </c>
      <c r="G131" s="5">
        <v>0.968627960865569</v>
      </c>
      <c r="H131" s="5">
        <v>0.958223107626456</v>
      </c>
      <c r="I131" s="6">
        <v>0.690164506787702</v>
      </c>
      <c r="J131" s="6">
        <v>2.78271822992613</v>
      </c>
      <c r="K131" s="7">
        <v>104.0</v>
      </c>
      <c r="L131" s="7">
        <v>40.8</v>
      </c>
      <c r="M131" s="7">
        <v>98.0</v>
      </c>
      <c r="N131" s="7">
        <v>194.333333333333</v>
      </c>
      <c r="O131" s="8">
        <v>0.0131897822760582</v>
      </c>
      <c r="P131" s="8">
        <v>0.0102198186894441</v>
      </c>
      <c r="Q131" s="8">
        <v>0.0113241113288468</v>
      </c>
      <c r="R131" s="8">
        <v>0.0189849317208071</v>
      </c>
      <c r="S131" s="8">
        <v>0.0112096671032834</v>
      </c>
      <c r="T131" s="8">
        <v>0.0152546145312572</v>
      </c>
      <c r="U131" s="8">
        <v>0.433603024525793</v>
      </c>
      <c r="V131" s="8">
        <v>1.30852262903713</v>
      </c>
    </row>
    <row r="132">
      <c r="B132" s="4" t="s">
        <v>43</v>
      </c>
      <c r="C132" s="5">
        <v>0.922781509636266</v>
      </c>
      <c r="D132" s="5">
        <v>0.794602925761718</v>
      </c>
      <c r="E132" s="5">
        <v>0.640838369887113</v>
      </c>
      <c r="F132" s="5">
        <v>0.461390754818133</v>
      </c>
      <c r="G132" s="5">
        <v>0.5</v>
      </c>
      <c r="H132" s="5">
        <v>0.479919054101999</v>
      </c>
      <c r="I132" s="6">
        <v>0.0</v>
      </c>
      <c r="J132" s="6">
        <v>7.72184903637335</v>
      </c>
      <c r="K132" s="7">
        <v>64.8</v>
      </c>
      <c r="L132" s="7">
        <v>774.4</v>
      </c>
      <c r="M132" s="7">
        <v>24.6666666666666</v>
      </c>
      <c r="N132" s="7">
        <v>489.0</v>
      </c>
      <c r="O132" s="8">
        <v>0.00273785147662611</v>
      </c>
      <c r="P132" s="8">
        <v>0.0306120334848463</v>
      </c>
      <c r="Q132" s="8">
        <v>0.0554125020516107</v>
      </c>
      <c r="R132" s="8">
        <v>0.00136892573831309</v>
      </c>
      <c r="S132" s="8">
        <v>0.0</v>
      </c>
      <c r="T132" s="8">
        <v>7.40101624020034E-4</v>
      </c>
      <c r="U132" s="8">
        <v>0.0</v>
      </c>
      <c r="V132" s="8">
        <v>0.273785147662616</v>
      </c>
    </row>
    <row r="133">
      <c r="B133" s="4" t="s">
        <v>22</v>
      </c>
      <c r="C133" s="5">
        <v>0.637570663194498</v>
      </c>
      <c r="D133" s="5">
        <v>0.600813708554952</v>
      </c>
      <c r="E133" s="5">
        <v>0.58487552800879</v>
      </c>
      <c r="F133" s="5">
        <v>0.592958776312508</v>
      </c>
      <c r="G133" s="5">
        <v>0.566060435163524</v>
      </c>
      <c r="H133" s="5">
        <v>0.552543670563321</v>
      </c>
      <c r="I133" s="6">
        <v>9.33220084948798</v>
      </c>
      <c r="J133" s="6">
        <v>26.9107328310621</v>
      </c>
      <c r="K133" s="7">
        <v>363.2</v>
      </c>
      <c r="L133" s="7">
        <v>606.4</v>
      </c>
      <c r="M133" s="7">
        <v>175.0</v>
      </c>
      <c r="N133" s="7">
        <v>426.666666666666</v>
      </c>
      <c r="O133" s="8">
        <v>0.0464880003730577</v>
      </c>
      <c r="P133" s="8">
        <v>0.082382369248411</v>
      </c>
      <c r="Q133" s="8">
        <v>0.0563143993748496</v>
      </c>
      <c r="R133" s="8">
        <v>0.0621039166815388</v>
      </c>
      <c r="S133" s="8">
        <v>0.0586145059562313</v>
      </c>
      <c r="T133" s="8">
        <v>0.067649040632923</v>
      </c>
      <c r="U133" s="8">
        <v>2.34208418868838</v>
      </c>
      <c r="V133" s="8">
        <v>4.42257950983551</v>
      </c>
    </row>
    <row r="134">
      <c r="B134" s="4" t="s">
        <v>23</v>
      </c>
      <c r="C134" s="5">
        <v>0.851853169800859</v>
      </c>
      <c r="D134" s="5">
        <v>0.396505738888956</v>
      </c>
      <c r="E134" s="5">
        <v>0.475767761596273</v>
      </c>
      <c r="F134" s="5">
        <v>0.425926584900429</v>
      </c>
      <c r="G134" s="5">
        <v>0.5</v>
      </c>
      <c r="H134" s="5">
        <v>0.459996639510761</v>
      </c>
      <c r="I134" s="6">
        <v>0.0</v>
      </c>
      <c r="J134" s="6">
        <v>14.814683019914</v>
      </c>
      <c r="K134" s="7">
        <v>127.2</v>
      </c>
      <c r="L134" s="7">
        <v>731.2</v>
      </c>
      <c r="M134" s="7">
        <v>76.3333333333333</v>
      </c>
      <c r="N134" s="7">
        <v>613.333333333333</v>
      </c>
      <c r="O134" s="8">
        <v>0.00488132436084362</v>
      </c>
      <c r="P134" s="8">
        <v>0.0827001999694923</v>
      </c>
      <c r="Q134" s="8">
        <v>0.0271371096816052</v>
      </c>
      <c r="R134" s="8">
        <v>0.00244066218042178</v>
      </c>
      <c r="S134" s="8">
        <v>0.0</v>
      </c>
      <c r="T134" s="8">
        <v>0.00142068738958472</v>
      </c>
      <c r="U134" s="8">
        <v>0.0</v>
      </c>
      <c r="V134" s="8">
        <v>0.48813243608436</v>
      </c>
    </row>
    <row r="135">
      <c r="B135" s="4" t="s">
        <v>24</v>
      </c>
      <c r="C135" s="5">
        <v>0.936264297838639</v>
      </c>
      <c r="D135" s="5">
        <v>0.793692890366424</v>
      </c>
      <c r="E135" s="5">
        <v>0.662865242658485</v>
      </c>
      <c r="F135" s="5">
        <v>0.468132148919319</v>
      </c>
      <c r="G135" s="5">
        <v>0.5</v>
      </c>
      <c r="H135" s="5">
        <v>0.483531299749648</v>
      </c>
      <c r="I135" s="6">
        <v>0.0</v>
      </c>
      <c r="J135" s="6">
        <v>6.37357021613604</v>
      </c>
      <c r="K135" s="7">
        <v>25.6</v>
      </c>
      <c r="L135" s="7">
        <v>375.2</v>
      </c>
      <c r="M135" s="7">
        <v>137.0</v>
      </c>
      <c r="N135" s="7">
        <v>421.333333333333</v>
      </c>
      <c r="O135" s="8">
        <v>0.00864450601757729</v>
      </c>
      <c r="P135" s="8">
        <v>0.131439347114639</v>
      </c>
      <c r="Q135" s="8">
        <v>0.0696001190772735</v>
      </c>
      <c r="R135" s="8">
        <v>0.00432225300878865</v>
      </c>
      <c r="S135" s="8">
        <v>0.0</v>
      </c>
      <c r="T135" s="8">
        <v>0.00230265048666785</v>
      </c>
      <c r="U135" s="8">
        <v>0.0</v>
      </c>
      <c r="V135" s="8">
        <v>0.864450601757729</v>
      </c>
    </row>
    <row r="136">
      <c r="B136" s="4" t="s">
        <v>25</v>
      </c>
      <c r="C136" s="5">
        <v>0.884441697251738</v>
      </c>
      <c r="D136" s="5">
        <v>0.93912820225548</v>
      </c>
      <c r="E136" s="5">
        <v>0.931768210392983</v>
      </c>
      <c r="F136" s="5">
        <v>0.885988725689607</v>
      </c>
      <c r="G136" s="5">
        <v>0.88327850545843</v>
      </c>
      <c r="H136" s="5">
        <v>0.883569445874852</v>
      </c>
      <c r="I136" s="6">
        <v>6.07581177444091</v>
      </c>
      <c r="J136" s="6">
        <v>5.48001850038525</v>
      </c>
      <c r="K136" s="7">
        <v>451.2</v>
      </c>
      <c r="L136" s="7">
        <v>388.0</v>
      </c>
      <c r="M136" s="7">
        <v>345.666666666666</v>
      </c>
      <c r="N136" s="7">
        <v>337.0</v>
      </c>
      <c r="O136" s="8">
        <v>0.0175020237519247</v>
      </c>
      <c r="P136" s="8">
        <v>0.00332780224015247</v>
      </c>
      <c r="Q136" s="8">
        <v>0.0062351361719865</v>
      </c>
      <c r="R136" s="8">
        <v>0.017215993492903</v>
      </c>
      <c r="S136" s="8">
        <v>0.0155442606968866</v>
      </c>
      <c r="T136" s="8">
        <v>0.0172205881267623</v>
      </c>
      <c r="U136" s="8">
        <v>1.04745994122422</v>
      </c>
      <c r="V136" s="8">
        <v>2.5059459069324</v>
      </c>
    </row>
    <row r="137">
      <c r="B137" s="4" t="s">
        <v>26</v>
      </c>
      <c r="C137" s="5">
        <v>0.360443532397096</v>
      </c>
      <c r="D137" s="5">
        <v>0.678009717739164</v>
      </c>
      <c r="E137" s="5">
        <v>0.669143309117577</v>
      </c>
      <c r="F137" s="5">
        <v>0.593299883324314</v>
      </c>
      <c r="G137" s="5">
        <v>0.528669931922262</v>
      </c>
      <c r="H137" s="5">
        <v>0.317844211674608</v>
      </c>
      <c r="I137" s="6">
        <v>0.760983041434004</v>
      </c>
      <c r="J137" s="6">
        <v>63.1946637188563</v>
      </c>
      <c r="K137" s="7">
        <v>489.6</v>
      </c>
      <c r="L137" s="7">
        <v>221.6</v>
      </c>
      <c r="M137" s="7">
        <v>175.0</v>
      </c>
      <c r="N137" s="7">
        <v>336.0</v>
      </c>
      <c r="O137" s="8">
        <v>0.0281050395258893</v>
      </c>
      <c r="P137" s="8">
        <v>0.0998469111737331</v>
      </c>
      <c r="Q137" s="8">
        <v>0.0741536877069053</v>
      </c>
      <c r="R137" s="8">
        <v>0.0454821095014236</v>
      </c>
      <c r="S137" s="8">
        <v>0.0232631511765706</v>
      </c>
      <c r="T137" s="8">
        <v>0.0365433774374665</v>
      </c>
      <c r="U137" s="8">
        <v>0.49950035706606</v>
      </c>
      <c r="V137" s="8">
        <v>2.45908536174895</v>
      </c>
    </row>
    <row r="138">
      <c r="B138" s="4" t="s">
        <v>27</v>
      </c>
      <c r="C138" s="5">
        <v>0.74839105246306</v>
      </c>
      <c r="D138" s="5">
        <v>0.865493899065289</v>
      </c>
      <c r="E138" s="5">
        <v>0.847807144851946</v>
      </c>
      <c r="F138" s="5">
        <v>0.769997154186089</v>
      </c>
      <c r="G138" s="5">
        <v>0.728859104932965</v>
      </c>
      <c r="H138" s="5">
        <v>0.729467012896666</v>
      </c>
      <c r="I138" s="6">
        <v>5.54467590526934</v>
      </c>
      <c r="J138" s="6">
        <v>19.6162188484246</v>
      </c>
      <c r="K138" s="7">
        <v>208.8</v>
      </c>
      <c r="L138" s="7">
        <v>263.2</v>
      </c>
      <c r="M138" s="7">
        <v>156.333333333333</v>
      </c>
      <c r="N138" s="7">
        <v>285.333333333333</v>
      </c>
      <c r="O138" s="8">
        <v>0.0262454539276861</v>
      </c>
      <c r="P138" s="8">
        <v>0.0165828069236718</v>
      </c>
      <c r="Q138" s="8">
        <v>0.015848484428409</v>
      </c>
      <c r="R138" s="8">
        <v>0.0169795239733061</v>
      </c>
      <c r="S138" s="8">
        <v>0.0297147555766996</v>
      </c>
      <c r="T138" s="8">
        <v>0.0341932379375951</v>
      </c>
      <c r="U138" s="8">
        <v>1.43795748719679</v>
      </c>
      <c r="V138" s="8">
        <v>3.61667450043327</v>
      </c>
    </row>
    <row r="139">
      <c r="B139" s="4" t="s">
        <v>28</v>
      </c>
      <c r="C139" s="5">
        <v>0.424292599038429</v>
      </c>
      <c r="D139" s="5">
        <v>0.584539009745029</v>
      </c>
      <c r="E139" s="5">
        <v>0.580862718120688</v>
      </c>
      <c r="F139" s="5">
        <v>0.654779784151656</v>
      </c>
      <c r="G139" s="5">
        <v>0.561431717107056</v>
      </c>
      <c r="H139" s="5">
        <v>0.388464175673315</v>
      </c>
      <c r="I139" s="6">
        <v>0.673184170585032</v>
      </c>
      <c r="J139" s="6">
        <v>56.897555925572</v>
      </c>
      <c r="K139" s="7">
        <v>497.6</v>
      </c>
      <c r="L139" s="7">
        <v>252.0</v>
      </c>
      <c r="M139" s="7">
        <v>291.333333333333</v>
      </c>
      <c r="N139" s="7">
        <v>375.666666666666</v>
      </c>
      <c r="O139" s="8">
        <v>0.0345205009456911</v>
      </c>
      <c r="P139" s="8">
        <v>0.146196926983911</v>
      </c>
      <c r="Q139" s="8">
        <v>0.0804966428127505</v>
      </c>
      <c r="R139" s="8">
        <v>0.00984176880001446</v>
      </c>
      <c r="S139" s="8">
        <v>0.0228728829427747</v>
      </c>
      <c r="T139" s="8">
        <v>0.0503636128399974</v>
      </c>
      <c r="U139" s="8">
        <v>0.526793731584179</v>
      </c>
      <c r="V139" s="8">
        <v>3.87979316053909</v>
      </c>
    </row>
    <row r="140">
      <c r="B140" s="4" t="s">
        <v>29</v>
      </c>
      <c r="C140" s="5">
        <v>0.701152021314451</v>
      </c>
      <c r="D140" s="5">
        <v>0.755262270252146</v>
      </c>
      <c r="E140" s="5">
        <v>0.71898839108272</v>
      </c>
      <c r="F140" s="5">
        <v>0.685021151476888</v>
      </c>
      <c r="G140" s="5">
        <v>0.681291327013272</v>
      </c>
      <c r="H140" s="5">
        <v>0.680411412198498</v>
      </c>
      <c r="I140" s="6">
        <v>14.5827594034936</v>
      </c>
      <c r="J140" s="6">
        <v>15.3020384650612</v>
      </c>
      <c r="K140" s="7">
        <v>246.4</v>
      </c>
      <c r="L140" s="7">
        <v>399.2</v>
      </c>
      <c r="M140" s="7">
        <v>182.333333333333</v>
      </c>
      <c r="N140" s="7">
        <v>364.333333333333</v>
      </c>
      <c r="O140" s="8">
        <v>0.00882739831726747</v>
      </c>
      <c r="P140" s="8">
        <v>0.0168008602179903</v>
      </c>
      <c r="Q140" s="8">
        <v>0.0198357723026098</v>
      </c>
      <c r="R140" s="8">
        <v>0.0137456803541354</v>
      </c>
      <c r="S140" s="8">
        <v>0.0222789551058657</v>
      </c>
      <c r="T140" s="8">
        <v>0.0171598909080286</v>
      </c>
      <c r="U140" s="8">
        <v>2.67164569745348</v>
      </c>
      <c r="V140" s="8">
        <v>3.27070933616227</v>
      </c>
    </row>
    <row r="141">
      <c r="B141" s="4" t="s">
        <v>44</v>
      </c>
      <c r="C141" s="5">
        <v>0.76842297731838</v>
      </c>
      <c r="D141" s="5">
        <v>0.620329159095685</v>
      </c>
      <c r="E141" s="5">
        <v>0.579724040061101</v>
      </c>
      <c r="F141" s="5">
        <v>0.38421148865919</v>
      </c>
      <c r="G141" s="5">
        <v>0.5</v>
      </c>
      <c r="H141" s="5">
        <v>0.434513366289745</v>
      </c>
      <c r="I141" s="6">
        <v>0.0</v>
      </c>
      <c r="J141" s="6">
        <v>23.1577022681619</v>
      </c>
      <c r="K141" s="7">
        <v>274.4</v>
      </c>
      <c r="L141" s="7">
        <v>910.4</v>
      </c>
      <c r="M141" s="7">
        <v>77.3333333333333</v>
      </c>
      <c r="N141" s="7">
        <v>601.333333333333</v>
      </c>
      <c r="O141" s="8">
        <v>0.00783781114337687</v>
      </c>
      <c r="P141" s="8">
        <v>0.0727168459142261</v>
      </c>
      <c r="Q141" s="8">
        <v>0.0425986061562595</v>
      </c>
      <c r="R141" s="8">
        <v>0.00391890557168844</v>
      </c>
      <c r="S141" s="8">
        <v>0.0</v>
      </c>
      <c r="T141" s="8">
        <v>0.00249514797396067</v>
      </c>
      <c r="U141" s="8">
        <v>0.0</v>
      </c>
      <c r="V141" s="8">
        <v>0.783781114337687</v>
      </c>
    </row>
    <row r="142">
      <c r="B142" s="4" t="s">
        <v>30</v>
      </c>
      <c r="C142" s="5">
        <v>0.918114954774761</v>
      </c>
      <c r="D142" s="5">
        <v>0.939880768192187</v>
      </c>
      <c r="E142" s="5">
        <v>0.930125109042183</v>
      </c>
      <c r="F142" s="5">
        <v>0.911662812351225</v>
      </c>
      <c r="G142" s="5">
        <v>0.911049334768536</v>
      </c>
      <c r="H142" s="5">
        <v>0.911109185198928</v>
      </c>
      <c r="I142" s="6">
        <v>4.10500850154844</v>
      </c>
      <c r="J142" s="6">
        <v>4.08349602097545</v>
      </c>
      <c r="K142" s="7">
        <v>167.2</v>
      </c>
      <c r="L142" s="7">
        <v>298.4</v>
      </c>
      <c r="M142" s="7">
        <v>190.333333333333</v>
      </c>
      <c r="N142" s="7">
        <v>317.333333333333</v>
      </c>
      <c r="O142" s="8">
        <v>0.0120980572248977</v>
      </c>
      <c r="P142" s="8">
        <v>0.0120524135419261</v>
      </c>
      <c r="Q142" s="8">
        <v>0.0139026939633304</v>
      </c>
      <c r="R142" s="8">
        <v>0.0141051611315783</v>
      </c>
      <c r="S142" s="8">
        <v>0.0109314164935281</v>
      </c>
      <c r="T142" s="8">
        <v>0.012277025700772</v>
      </c>
      <c r="U142" s="8">
        <v>1.18357553016023</v>
      </c>
      <c r="V142" s="8">
        <v>0.669129861221761</v>
      </c>
    </row>
    <row r="143">
      <c r="B143" s="4" t="s">
        <v>31</v>
      </c>
      <c r="C143" s="5">
        <f t="shared" ref="C143:V143" si="16">MEDIAN(C123:C142)</f>
        <v>0.875988736</v>
      </c>
      <c r="D143" s="5">
        <f t="shared" si="16"/>
        <v>0.7987950766</v>
      </c>
      <c r="E143" s="5">
        <f t="shared" si="16"/>
        <v>0.7004374143</v>
      </c>
      <c r="F143" s="5">
        <f t="shared" si="16"/>
        <v>0.7020302379</v>
      </c>
      <c r="G143" s="5">
        <f t="shared" si="16"/>
        <v>0.6555781068</v>
      </c>
      <c r="H143" s="5">
        <f t="shared" si="16"/>
        <v>0.6683626707</v>
      </c>
      <c r="I143" s="6">
        <f t="shared" si="16"/>
        <v>2.456925149</v>
      </c>
      <c r="J143" s="6">
        <f t="shared" si="16"/>
        <v>7.221529688</v>
      </c>
      <c r="K143" s="9">
        <f t="shared" si="16"/>
        <v>147.2</v>
      </c>
      <c r="L143" s="9">
        <f t="shared" si="16"/>
        <v>446.8</v>
      </c>
      <c r="M143" s="9">
        <f t="shared" si="16"/>
        <v>142.5</v>
      </c>
      <c r="N143" s="9">
        <f t="shared" si="16"/>
        <v>366.1666667</v>
      </c>
      <c r="O143" s="8">
        <f t="shared" si="16"/>
        <v>0.01046272777</v>
      </c>
      <c r="P143" s="8">
        <f t="shared" si="16"/>
        <v>0.03351236754</v>
      </c>
      <c r="Q143" s="8">
        <f t="shared" si="16"/>
        <v>0.03001578057</v>
      </c>
      <c r="R143" s="8">
        <f t="shared" si="16"/>
        <v>0.01709775873</v>
      </c>
      <c r="S143" s="8">
        <f t="shared" si="16"/>
        <v>0.02257591902</v>
      </c>
      <c r="T143" s="8">
        <f t="shared" si="16"/>
        <v>0.0191392122</v>
      </c>
      <c r="U143" s="8">
        <f t="shared" si="16"/>
        <v>0.9852342348</v>
      </c>
      <c r="V143" s="8">
        <f t="shared" si="16"/>
        <v>1.354529718</v>
      </c>
    </row>
    <row r="144">
      <c r="B144" s="4" t="s">
        <v>32</v>
      </c>
      <c r="C144" s="5">
        <f t="shared" ref="C144:V144" si="17">AVERAGE(C123:C142)</f>
        <v>0.8114010278</v>
      </c>
      <c r="D144" s="5">
        <f t="shared" si="17"/>
        <v>0.7901224881</v>
      </c>
      <c r="E144" s="5">
        <f t="shared" si="17"/>
        <v>0.7375085732</v>
      </c>
      <c r="F144" s="5">
        <f t="shared" si="17"/>
        <v>0.6810145605</v>
      </c>
      <c r="G144" s="5">
        <f t="shared" si="17"/>
        <v>0.6744626367</v>
      </c>
      <c r="H144" s="5">
        <f t="shared" si="17"/>
        <v>0.6456677573</v>
      </c>
      <c r="I144" s="6">
        <f t="shared" si="17"/>
        <v>3.855971059</v>
      </c>
      <c r="J144" s="6">
        <f t="shared" si="17"/>
        <v>15.00392616</v>
      </c>
      <c r="K144" s="9">
        <f t="shared" si="17"/>
        <v>209.52</v>
      </c>
      <c r="L144" s="9">
        <f t="shared" si="17"/>
        <v>510.2</v>
      </c>
      <c r="M144" s="9">
        <f t="shared" si="17"/>
        <v>154.3333333</v>
      </c>
      <c r="N144" s="9">
        <f t="shared" si="17"/>
        <v>395.2833333</v>
      </c>
      <c r="O144" s="8">
        <f t="shared" si="17"/>
        <v>0.01532328864</v>
      </c>
      <c r="P144" s="8">
        <f t="shared" si="17"/>
        <v>0.04669577075</v>
      </c>
      <c r="Q144" s="8">
        <f t="shared" si="17"/>
        <v>0.03612141649</v>
      </c>
      <c r="R144" s="8">
        <f t="shared" si="17"/>
        <v>0.02498826374</v>
      </c>
      <c r="S144" s="8">
        <f t="shared" si="17"/>
        <v>0.02391306823</v>
      </c>
      <c r="T144" s="8">
        <f t="shared" si="17"/>
        <v>0.02665820003</v>
      </c>
      <c r="U144" s="8">
        <f t="shared" si="17"/>
        <v>1.101507194</v>
      </c>
      <c r="V144" s="8">
        <f t="shared" si="17"/>
        <v>1.748520127</v>
      </c>
    </row>
  </sheetData>
  <mergeCells count="6">
    <mergeCell ref="O2:V2"/>
    <mergeCell ref="O22:V22"/>
    <mergeCell ref="O42:V42"/>
    <mergeCell ref="O73:V73"/>
    <mergeCell ref="O97:V97"/>
    <mergeCell ref="O121:V121"/>
  </mergeCells>
  <conditionalFormatting sqref="I4:J21 I24:J41 I44:J61 I75:J96 I99:J120 I123:J144">
    <cfRule type="cellIs" dxfId="0" priority="1" operator="lessThanOrEqual">
      <formula>3</formula>
    </cfRule>
  </conditionalFormatting>
  <conditionalFormatting sqref="C4:H21 C24:H41 C44:H61 C75:H96 C99:H120 C123:H144">
    <cfRule type="cellIs" dxfId="1" priority="2" operator="greaterThan">
      <formula>0.95</formula>
    </cfRule>
  </conditionalFormatting>
  <conditionalFormatting sqref="C4:H21 C24:H41 C44:H61 C75:H96 C99:H120 C123:H144">
    <cfRule type="cellIs" dxfId="2" priority="3" operator="greaterThan">
      <formula>0.85</formula>
    </cfRule>
  </conditionalFormatting>
  <conditionalFormatting sqref="M4:N21 M24:N41 M44:N61 M75:N96 M99:N120 M123:N144">
    <cfRule type="cellIs" dxfId="3" priority="4" operator="lessThanOrEqual">
      <formula>50</formula>
    </cfRule>
  </conditionalFormatting>
  <drawing r:id="rId1"/>
</worksheet>
</file>