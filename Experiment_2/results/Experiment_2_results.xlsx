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KP_MIX_CV_Reduced" sheetId="1" r:id="rId5"/>
  </sheets>
  <definedNames/>
  <calcPr/>
</workbook>
</file>

<file path=xl/sharedStrings.xml><?xml version="1.0" encoding="utf-8"?>
<sst xmlns="http://schemas.openxmlformats.org/spreadsheetml/2006/main" count="208" uniqueCount="60">
  <si>
    <t>vitekTrain phoenixTest comp</t>
  </si>
  <si>
    <t>Std</t>
  </si>
  <si>
    <t>Target</t>
  </si>
  <si>
    <t>Accuracy</t>
  </si>
  <si>
    <t>ROC_Mean</t>
  </si>
  <si>
    <t>PR_Mean</t>
  </si>
  <si>
    <t>Precision_Mean</t>
  </si>
  <si>
    <t>Recall_Mean</t>
  </si>
  <si>
    <t>F1_Mean</t>
  </si>
  <si>
    <t>VME</t>
  </si>
  <si>
    <t>ME</t>
  </si>
  <si>
    <t>Test_Count_S</t>
  </si>
  <si>
    <t>Test_Count_R</t>
  </si>
  <si>
    <t>Train_Count_S</t>
  </si>
  <si>
    <t>Train_Count_R</t>
  </si>
  <si>
    <t>Amikacin_AB</t>
  </si>
  <si>
    <t>Cefepime_AB</t>
  </si>
  <si>
    <t>Gentamicin_AB</t>
  </si>
  <si>
    <t>Imipenem_AB</t>
  </si>
  <si>
    <t>Levofloxacin_AB</t>
  </si>
  <si>
    <t>Piperacillin-tazobactam_AB</t>
  </si>
  <si>
    <t>Tobramycin_AB</t>
  </si>
  <si>
    <t>Median</t>
  </si>
  <si>
    <t>mixTrain phoenixTest red</t>
  </si>
  <si>
    <t>Phoenix Prediction with different training datasets</t>
  </si>
  <si>
    <t>Stds</t>
  </si>
  <si>
    <t>Acc</t>
  </si>
  <si>
    <t>ROC AUC</t>
  </si>
  <si>
    <t>F1-Score</t>
  </si>
  <si>
    <t>External</t>
  </si>
  <si>
    <t>Antibiotic</t>
  </si>
  <si>
    <t>S</t>
  </si>
  <si>
    <t>R</t>
  </si>
  <si>
    <t>Total</t>
  </si>
  <si>
    <t>Mixed</t>
  </si>
  <si>
    <t>VITEK Count</t>
  </si>
  <si>
    <t>Internal</t>
  </si>
  <si>
    <t>Amikacin</t>
  </si>
  <si>
    <t>Cefepime</t>
  </si>
  <si>
    <t>Gentamicin</t>
  </si>
  <si>
    <t>Imipenem</t>
  </si>
  <si>
    <t>Levofloxacin</t>
  </si>
  <si>
    <t>Piperacillin-Tazobactam</t>
  </si>
  <si>
    <t>Tobramycin</t>
  </si>
  <si>
    <t>Phoenix count</t>
  </si>
  <si>
    <t>phoenixTrain - mixTrain (phoenixTest)</t>
  </si>
  <si>
    <t>Aztreonam_AB</t>
  </si>
  <si>
    <t>Ceftazidime_AB</t>
  </si>
  <si>
    <t>Ceftriaxone_AB</t>
  </si>
  <si>
    <t>Ciprofloxacin_AB</t>
  </si>
  <si>
    <t>Trimethoprim-sulfamethoxazole_AB</t>
  </si>
  <si>
    <t>phoenixTrain phoenixTest red</t>
  </si>
  <si>
    <t>vitekTrain - mixTrain (vitekTest)</t>
  </si>
  <si>
    <t>Ampicillin-sulbactam_AB</t>
  </si>
  <si>
    <t>Cefazolin_AB</t>
  </si>
  <si>
    <t>Ceftazidime-avibactam_AB</t>
  </si>
  <si>
    <t>Cefuroxime_AB</t>
  </si>
  <si>
    <t>Ertapenem_AB</t>
  </si>
  <si>
    <t>Meropenem_AB</t>
  </si>
  <si>
    <t>vitekTrain vitekTest red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</si>
</sst>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Helvetica Neue"/>
    </font>
    <font>
      <color rgb="FF000000"/>
      <name val="Helvetica Neue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horizontal="center" readingOrder="0"/>
    </xf>
    <xf borderId="1" fillId="3" fontId="2" numFmtId="164" xfId="0" applyAlignment="1" applyBorder="1" applyFill="1" applyFont="1" applyNumberFormat="1">
      <alignment readingOrder="0" vertical="top"/>
    </xf>
    <xf borderId="1" fillId="3" fontId="2" numFmtId="0" xfId="0" applyAlignment="1" applyBorder="1" applyFont="1">
      <alignment readingOrder="0" vertical="top"/>
    </xf>
    <xf borderId="1" fillId="4" fontId="2" numFmtId="0" xfId="0" applyAlignment="1" applyBorder="1" applyFill="1" applyFont="1">
      <alignment readingOrder="0" vertical="top"/>
    </xf>
    <xf borderId="1" fillId="0" fontId="3" numFmtId="2" xfId="0" applyAlignment="1" applyBorder="1" applyFont="1" applyNumberFormat="1">
      <alignment readingOrder="0" vertical="top"/>
    </xf>
    <xf borderId="1" fillId="0" fontId="3" numFmtId="164" xfId="0" applyAlignment="1" applyBorder="1" applyFont="1" applyNumberFormat="1">
      <alignment readingOrder="0" vertical="top"/>
    </xf>
    <xf borderId="1" fillId="0" fontId="3" numFmtId="0" xfId="0" applyAlignment="1" applyBorder="1" applyFont="1">
      <alignment readingOrder="0" vertical="top"/>
    </xf>
    <xf borderId="0" fillId="0" fontId="1" numFmtId="2" xfId="0" applyFont="1" applyNumberFormat="1"/>
    <xf borderId="0" fillId="0" fontId="4" numFmtId="0" xfId="0" applyAlignment="1" applyFont="1">
      <alignment vertical="bottom"/>
    </xf>
    <xf borderId="0" fillId="0" fontId="4" numFmtId="2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vertical="bottom"/>
    </xf>
    <xf borderId="0" fillId="0" fontId="4" numFmtId="0" xfId="0" applyAlignment="1" applyFont="1">
      <alignment readingOrder="0" vertical="bottom"/>
    </xf>
    <xf borderId="0" fillId="5" fontId="1" numFmtId="2" xfId="0" applyFill="1" applyFont="1" applyNumberFormat="1"/>
    <xf borderId="1" fillId="3" fontId="2" numFmtId="2" xfId="0" applyAlignment="1" applyBorder="1" applyFont="1" applyNumberFormat="1">
      <alignment readingOrder="0" vertical="top"/>
    </xf>
    <xf borderId="0" fillId="0" fontId="4" numFmtId="2" xfId="0" applyAlignment="1" applyFont="1" applyNumberFormat="1">
      <alignment readingOrder="0" vertical="bottom"/>
    </xf>
    <xf borderId="1" fillId="0" fontId="3" numFmtId="1" xfId="0" applyAlignment="1" applyBorder="1" applyFont="1" applyNumberFormat="1">
      <alignment readingOrder="0" vertical="top"/>
    </xf>
    <xf borderId="0" fillId="3" fontId="2" numFmtId="0" xfId="0" applyAlignment="1" applyFont="1">
      <alignment readingOrder="0" vertical="top"/>
    </xf>
    <xf borderId="0" fillId="0" fontId="1" numFmtId="164" xfId="0" applyFont="1" applyNumberFormat="1"/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EKP_MIX_CV_Reduced!$L$269:$L$270</c:f>
            </c:strRef>
          </c:tx>
          <c:val>
            <c:numRef>
              <c:f>EKP_MIX_CV_Reduced!$L$271:$L$273</c:f>
              <c:numCache/>
            </c:numRef>
          </c:val>
        </c:ser>
        <c:ser>
          <c:idx val="1"/>
          <c:order val="1"/>
          <c:tx>
            <c:strRef>
              <c:f>EKP_MIX_CV_Reduced!$M$269:$M$270</c:f>
            </c:strRef>
          </c:tx>
          <c:val>
            <c:numRef>
              <c:f>EKP_MIX_CV_Reduced!$M$271:$M$273</c:f>
              <c:numCache/>
            </c:numRef>
          </c:val>
        </c:ser>
        <c:ser>
          <c:idx val="2"/>
          <c:order val="2"/>
          <c:tx>
            <c:strRef>
              <c:f>EKP_MIX_CV_Reduced!$N$269:$N$270</c:f>
            </c:strRef>
          </c:tx>
          <c:val>
            <c:numRef>
              <c:f>EKP_MIX_CV_Reduced!$N$271:$N$273</c:f>
              <c:numCache/>
            </c:numRef>
          </c:val>
        </c:ser>
        <c:ser>
          <c:idx val="3"/>
          <c:order val="3"/>
          <c:tx>
            <c:strRef>
              <c:f>EKP_MIX_CV_Reduced!$O$269:$O$270</c:f>
            </c:strRef>
          </c:tx>
          <c:val>
            <c:numRef>
              <c:f>EKP_MIX_CV_Reduced!$O$271:$O$273</c:f>
              <c:numCache/>
            </c:numRef>
          </c:val>
        </c:ser>
        <c:axId val="1703997346"/>
        <c:axId val="552623645"/>
      </c:barChart>
      <c:catAx>
        <c:axId val="17039973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2623645"/>
      </c:catAx>
      <c:valAx>
        <c:axId val="552623645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703997346"/>
      </c:valAx>
    </c:plotArea>
    <c:legend>
      <c:legendPos val="r"/>
      <c:layout>
        <c:manualLayout>
          <c:xMode val="edge"/>
          <c:yMode val="edge"/>
          <c:x val="0.22329125615763543"/>
          <c:y val="0.08187499999999999"/>
        </c:manualLayout>
      </c:layout>
      <c:overlay val="0"/>
      <c:txPr>
        <a:bodyPr/>
        <a:lstStyle/>
        <a:p>
          <a:pPr lvl="0">
            <a:defRPr b="0" sz="14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EKP_MIX_CV_Reduced!$M$26</c:f>
            </c:strRef>
          </c:tx>
          <c:spPr>
            <a:solidFill>
              <a:schemeClr val="accent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EKP_MIX_CV_Reduced!$L$27:$L$29</c:f>
            </c:strRef>
          </c:cat>
          <c:val>
            <c:numRef>
              <c:f>EKP_MIX_CV_Reduced!$M$27:$M$29</c:f>
              <c:numCache/>
            </c:numRef>
          </c:val>
        </c:ser>
        <c:ser>
          <c:idx val="1"/>
          <c:order val="1"/>
          <c:tx>
            <c:strRef>
              <c:f>EKP_MIX_CV_Reduced!$N$26</c:f>
            </c:strRef>
          </c:tx>
          <c:spPr>
            <a:solidFill>
              <a:schemeClr val="accent2"/>
            </a:solidFill>
            <a:ln cmpd="sng">
              <a:noFill/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EKP_MIX_CV_Reduced!$L$27:$L$29</c:f>
            </c:strRef>
          </c:cat>
          <c:val>
            <c:numRef>
              <c:f>EKP_MIX_CV_Reduced!$N$27:$N$29</c:f>
              <c:numCache/>
            </c:numRef>
          </c:val>
        </c:ser>
        <c:ser>
          <c:idx val="2"/>
          <c:order val="2"/>
          <c:tx>
            <c:strRef>
              <c:f>EKP_MIX_CV_Reduced!$O$26</c:f>
            </c:strRef>
          </c:tx>
          <c:spPr>
            <a:solidFill>
              <a:schemeClr val="accent3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EKP_MIX_CV_Reduced!$L$27:$L$29</c:f>
            </c:strRef>
          </c:cat>
          <c:val>
            <c:numRef>
              <c:f>EKP_MIX_CV_Reduced!$O$27:$O$29</c:f>
              <c:numCache/>
            </c:numRef>
          </c:val>
        </c:ser>
        <c:axId val="1805384176"/>
        <c:axId val="978618995"/>
      </c:barChart>
      <c:catAx>
        <c:axId val="1805384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8618995"/>
      </c:catAx>
      <c:valAx>
        <c:axId val="978618995"/>
        <c:scaling>
          <c:orientation val="minMax"/>
          <c:min val="0.6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1400">
                <a:solidFill>
                  <a:srgbClr val="000000"/>
                </a:solidFill>
                <a:latin typeface="+mn-lt"/>
              </a:defRPr>
            </a:pPr>
          </a:p>
        </c:txPr>
        <c:crossAx val="1805384176"/>
      </c:valAx>
    </c:plotArea>
    <c:legend>
      <c:legendPos val="r"/>
      <c:layout>
        <c:manualLayout>
          <c:xMode val="edge"/>
          <c:yMode val="edge"/>
          <c:x val="0.26776685393258426"/>
          <c:y val="0.08157835190677452"/>
        </c:manualLayout>
      </c:layout>
      <c:overlay val="0"/>
      <c:txPr>
        <a:bodyPr/>
        <a:lstStyle/>
        <a:p>
          <a:pPr lvl="0">
            <a:defRPr b="0" sz="14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219075</xdr:colOff>
      <xdr:row>275</xdr:row>
      <xdr:rowOff>95250</xdr:rowOff>
    </xdr:from>
    <xdr:ext cx="3867150" cy="45720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22</xdr:col>
      <xdr:colOff>504825</xdr:colOff>
      <xdr:row>178</xdr:row>
      <xdr:rowOff>0</xdr:rowOff>
    </xdr:from>
    <xdr:ext cx="4238625" cy="47815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B2" s="1" t="s">
        <v>0</v>
      </c>
      <c r="O2" s="2" t="s">
        <v>1</v>
      </c>
    </row>
    <row r="3">
      <c r="B3" s="3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  <c r="L3" s="4" t="s">
        <v>12</v>
      </c>
      <c r="M3" s="4" t="s">
        <v>13</v>
      </c>
      <c r="N3" s="4" t="s">
        <v>14</v>
      </c>
      <c r="O3" s="4" t="s">
        <v>3</v>
      </c>
      <c r="P3" s="4" t="s">
        <v>4</v>
      </c>
      <c r="Q3" s="4" t="s">
        <v>5</v>
      </c>
      <c r="R3" s="4" t="s">
        <v>6</v>
      </c>
      <c r="S3" s="4" t="s">
        <v>7</v>
      </c>
      <c r="T3" s="4" t="s">
        <v>8</v>
      </c>
      <c r="U3" s="4" t="s">
        <v>9</v>
      </c>
      <c r="V3" s="4" t="s">
        <v>10</v>
      </c>
    </row>
    <row r="4">
      <c r="B4" s="5" t="s">
        <v>15</v>
      </c>
      <c r="C4" s="6">
        <v>0.861999999999999</v>
      </c>
      <c r="D4" s="6">
        <v>0.887719926847765</v>
      </c>
      <c r="E4" s="6">
        <v>0.880188678465466</v>
      </c>
      <c r="F4" s="6">
        <v>0.874033803904252</v>
      </c>
      <c r="G4" s="6">
        <v>0.767481171462786</v>
      </c>
      <c r="H4" s="6">
        <v>0.799576575151214</v>
      </c>
      <c r="I4" s="7">
        <v>11.9</v>
      </c>
      <c r="J4" s="7">
        <v>1.9</v>
      </c>
      <c r="K4" s="8">
        <v>145.8</v>
      </c>
      <c r="L4" s="8">
        <v>54.2</v>
      </c>
      <c r="M4" s="8">
        <v>434.0</v>
      </c>
      <c r="N4" s="8">
        <v>166.0</v>
      </c>
      <c r="O4" s="8">
        <v>0.022494443758404</v>
      </c>
      <c r="P4" s="8">
        <v>0.0219745443973632</v>
      </c>
      <c r="Q4" s="8">
        <v>0.0281208641334173</v>
      </c>
      <c r="R4" s="8">
        <v>0.0243178326972661</v>
      </c>
      <c r="S4" s="8">
        <v>0.0167643828736211</v>
      </c>
      <c r="T4" s="8">
        <v>0.018967310320975</v>
      </c>
      <c r="U4" s="8">
        <v>1.71464281994822</v>
      </c>
      <c r="V4" s="8">
        <v>0.860232526704262</v>
      </c>
    </row>
    <row r="5">
      <c r="B5" s="5" t="s">
        <v>16</v>
      </c>
      <c r="C5" s="6">
        <v>0.667132227246125</v>
      </c>
      <c r="D5" s="6">
        <v>0.5674371909871</v>
      </c>
      <c r="E5" s="6">
        <v>0.560762048741925</v>
      </c>
      <c r="F5" s="6">
        <v>0.560046458143972</v>
      </c>
      <c r="G5" s="6">
        <v>0.521161169174355</v>
      </c>
      <c r="H5" s="6">
        <v>0.485001149264024</v>
      </c>
      <c r="I5" s="7">
        <v>4.88097666175409</v>
      </c>
      <c r="J5" s="7">
        <v>28.4058006136333</v>
      </c>
      <c r="K5" s="8">
        <v>60.4</v>
      </c>
      <c r="L5" s="8">
        <v>128.4</v>
      </c>
      <c r="M5" s="8">
        <v>72.2</v>
      </c>
      <c r="N5" s="8">
        <v>416.2</v>
      </c>
      <c r="O5" s="8">
        <v>0.0449096207897122</v>
      </c>
      <c r="P5" s="8">
        <v>0.0505388610009735</v>
      </c>
      <c r="Q5" s="8">
        <v>0.0358985972042475</v>
      </c>
      <c r="R5" s="8">
        <v>0.106189801878614</v>
      </c>
      <c r="S5" s="8">
        <v>0.0319015934367848</v>
      </c>
      <c r="T5" s="8">
        <v>0.0498353091981733</v>
      </c>
      <c r="U5" s="8">
        <v>1.69536598467575</v>
      </c>
      <c r="V5" s="8">
        <v>3.61039132290259</v>
      </c>
    </row>
    <row r="6">
      <c r="B6" s="5" t="s">
        <v>17</v>
      </c>
      <c r="C6" s="6">
        <v>0.857</v>
      </c>
      <c r="D6" s="6">
        <v>0.884324734471576</v>
      </c>
      <c r="E6" s="6">
        <v>0.862693114603303</v>
      </c>
      <c r="F6" s="6">
        <v>0.85713341358257</v>
      </c>
      <c r="G6" s="6">
        <v>0.868243516383884</v>
      </c>
      <c r="H6" s="6">
        <v>0.85530640231579</v>
      </c>
      <c r="I6" s="7">
        <v>11.3</v>
      </c>
      <c r="J6" s="7">
        <v>3.0</v>
      </c>
      <c r="K6" s="8">
        <v>83.4</v>
      </c>
      <c r="L6" s="8">
        <v>116.6</v>
      </c>
      <c r="M6" s="8">
        <v>297.6</v>
      </c>
      <c r="N6" s="8">
        <v>302.4</v>
      </c>
      <c r="O6" s="8">
        <v>0.0169115345252877</v>
      </c>
      <c r="P6" s="8">
        <v>0.0175367213127536</v>
      </c>
      <c r="Q6" s="8">
        <v>0.0283603183755667</v>
      </c>
      <c r="R6" s="8">
        <v>0.0209060507490034</v>
      </c>
      <c r="S6" s="8">
        <v>0.00998150047005504</v>
      </c>
      <c r="T6" s="8">
        <v>0.0191283278086524</v>
      </c>
      <c r="U6" s="8">
        <v>2.48193472919817</v>
      </c>
      <c r="V6" s="8">
        <v>1.44913767461894</v>
      </c>
    </row>
    <row r="7">
      <c r="B7" s="5" t="s">
        <v>18</v>
      </c>
      <c r="C7" s="6">
        <v>0.291</v>
      </c>
      <c r="D7" s="6">
        <v>0.597821286751562</v>
      </c>
      <c r="E7" s="6">
        <v>0.576149141779565</v>
      </c>
      <c r="F7" s="6">
        <v>0.524864267024454</v>
      </c>
      <c r="G7" s="6">
        <v>0.510666488286497</v>
      </c>
      <c r="H7" s="6">
        <v>0.241211072911126</v>
      </c>
      <c r="I7" s="7">
        <v>0.1</v>
      </c>
      <c r="J7" s="7">
        <v>70.8</v>
      </c>
      <c r="K7" s="8">
        <v>145.2</v>
      </c>
      <c r="L7" s="8">
        <v>54.8</v>
      </c>
      <c r="M7" s="8">
        <v>69.0</v>
      </c>
      <c r="N7" s="8">
        <v>356.6</v>
      </c>
      <c r="O7" s="8">
        <v>0.0159373774505092</v>
      </c>
      <c r="P7" s="8">
        <v>0.0874045555721284</v>
      </c>
      <c r="Q7" s="8">
        <v>0.0546732632952842</v>
      </c>
      <c r="R7" s="8">
        <v>0.194998405520854</v>
      </c>
      <c r="S7" s="8">
        <v>0.00764842093486385</v>
      </c>
      <c r="T7" s="8">
        <v>0.0184635024213543</v>
      </c>
      <c r="U7" s="8">
        <v>0.2</v>
      </c>
      <c r="V7" s="8">
        <v>1.77763888346311</v>
      </c>
    </row>
    <row r="8">
      <c r="B8" s="5" t="s">
        <v>19</v>
      </c>
      <c r="C8" s="6">
        <v>0.808</v>
      </c>
      <c r="D8" s="6">
        <v>0.685940526043382</v>
      </c>
      <c r="E8" s="6">
        <v>0.693597350104915</v>
      </c>
      <c r="F8" s="6">
        <v>0.698728418865272</v>
      </c>
      <c r="G8" s="6">
        <v>0.663246543741175</v>
      </c>
      <c r="H8" s="6">
        <v>0.672063426615748</v>
      </c>
      <c r="I8" s="7">
        <v>8.4</v>
      </c>
      <c r="J8" s="7">
        <v>10.8</v>
      </c>
      <c r="K8" s="8">
        <v>37.8</v>
      </c>
      <c r="L8" s="8">
        <v>162.2</v>
      </c>
      <c r="M8" s="8">
        <v>131.2</v>
      </c>
      <c r="N8" s="8">
        <v>274.0</v>
      </c>
      <c r="O8" s="8">
        <v>0.0614491659829488</v>
      </c>
      <c r="P8" s="8">
        <v>0.0427958141551688</v>
      </c>
      <c r="Q8" s="8">
        <v>0.0444797701023135</v>
      </c>
      <c r="R8" s="8">
        <v>0.0677972473931424</v>
      </c>
      <c r="S8" s="8">
        <v>0.0590551283757338</v>
      </c>
      <c r="T8" s="8">
        <v>0.0643544309090581</v>
      </c>
      <c r="U8" s="8">
        <v>5.8258046654518</v>
      </c>
      <c r="V8" s="8">
        <v>2.15870331449229</v>
      </c>
    </row>
    <row r="9">
      <c r="B9" s="5" t="s">
        <v>20</v>
      </c>
      <c r="C9" s="6">
        <v>0.743</v>
      </c>
      <c r="D9" s="6">
        <v>0.651946885082331</v>
      </c>
      <c r="E9" s="6">
        <v>0.634702213642285</v>
      </c>
      <c r="F9" s="6">
        <v>0.566780438812828</v>
      </c>
      <c r="G9" s="6">
        <v>0.603015001530949</v>
      </c>
      <c r="H9" s="6">
        <v>0.567186529942547</v>
      </c>
      <c r="I9" s="7">
        <v>17.7</v>
      </c>
      <c r="J9" s="7">
        <v>8.0</v>
      </c>
      <c r="K9" s="8">
        <v>26.8</v>
      </c>
      <c r="L9" s="8">
        <v>173.2</v>
      </c>
      <c r="M9" s="8">
        <v>150.8</v>
      </c>
      <c r="N9" s="8">
        <v>338.4</v>
      </c>
      <c r="O9" s="8">
        <v>0.0307571129984594</v>
      </c>
      <c r="P9" s="8">
        <v>0.0529755309427295</v>
      </c>
      <c r="Q9" s="8">
        <v>0.030507677136676</v>
      </c>
      <c r="R9" s="8">
        <v>0.0106829959812719</v>
      </c>
      <c r="S9" s="8">
        <v>0.0358843405139926</v>
      </c>
      <c r="T9" s="8">
        <v>0.00948181017701322</v>
      </c>
      <c r="U9" s="8">
        <v>4.73919824442911</v>
      </c>
      <c r="V9" s="8">
        <v>2.12132034355964</v>
      </c>
    </row>
    <row r="10">
      <c r="B10" s="5" t="s">
        <v>21</v>
      </c>
      <c r="C10" s="6">
        <v>0.789</v>
      </c>
      <c r="D10" s="6">
        <v>0.83012601553333</v>
      </c>
      <c r="E10" s="6">
        <v>0.809175242036814</v>
      </c>
      <c r="F10" s="6">
        <v>0.75815872595831</v>
      </c>
      <c r="G10" s="6">
        <v>0.760958003062917</v>
      </c>
      <c r="H10" s="6">
        <v>0.758510279393545</v>
      </c>
      <c r="I10" s="7">
        <v>10.9</v>
      </c>
      <c r="J10" s="7">
        <v>10.2</v>
      </c>
      <c r="K10" s="8">
        <v>64.8</v>
      </c>
      <c r="L10" s="8">
        <v>135.2</v>
      </c>
      <c r="M10" s="8">
        <v>180.4</v>
      </c>
      <c r="N10" s="8">
        <v>308.0</v>
      </c>
      <c r="O10" s="8">
        <v>0.0442040722106006</v>
      </c>
      <c r="P10" s="8">
        <v>0.0543381071174227</v>
      </c>
      <c r="Q10" s="8">
        <v>0.0589646422599734</v>
      </c>
      <c r="R10" s="8">
        <v>0.0584968132585552</v>
      </c>
      <c r="S10" s="8">
        <v>0.0532944719561846</v>
      </c>
      <c r="T10" s="8">
        <v>0.05615658285493</v>
      </c>
      <c r="U10" s="8">
        <v>3.18433666561813</v>
      </c>
      <c r="V10" s="8">
        <v>2.15870331449229</v>
      </c>
    </row>
    <row r="11">
      <c r="B11" s="5" t="s">
        <v>22</v>
      </c>
      <c r="C11" s="6">
        <f t="shared" ref="C11:J11" si="1">MEDIAN(C4:C10)</f>
        <v>0.789</v>
      </c>
      <c r="D11" s="6">
        <f t="shared" si="1"/>
        <v>0.685940526</v>
      </c>
      <c r="E11" s="6">
        <f t="shared" si="1"/>
        <v>0.6935973501</v>
      </c>
      <c r="F11" s="6">
        <f t="shared" si="1"/>
        <v>0.6987284189</v>
      </c>
      <c r="G11" s="6">
        <f t="shared" si="1"/>
        <v>0.6632465437</v>
      </c>
      <c r="H11" s="6">
        <f t="shared" si="1"/>
        <v>0.6720634266</v>
      </c>
      <c r="I11" s="7">
        <f t="shared" si="1"/>
        <v>10.9</v>
      </c>
      <c r="J11" s="7">
        <f t="shared" si="1"/>
        <v>10.2</v>
      </c>
      <c r="O11" s="9">
        <f t="shared" ref="O11:T11" si="2">MEDIAN(O4:O10)</f>
        <v>0.030757113</v>
      </c>
      <c r="P11" s="9">
        <f t="shared" si="2"/>
        <v>0.050538861</v>
      </c>
      <c r="Q11" s="9">
        <f t="shared" si="2"/>
        <v>0.0358985972</v>
      </c>
      <c r="R11" s="9">
        <f t="shared" si="2"/>
        <v>0.05849681326</v>
      </c>
      <c r="S11" s="9">
        <f t="shared" si="2"/>
        <v>0.03190159344</v>
      </c>
      <c r="T11" s="9">
        <f t="shared" si="2"/>
        <v>0.01912832781</v>
      </c>
    </row>
    <row r="13">
      <c r="B13" s="1" t="s">
        <v>23</v>
      </c>
      <c r="O13" s="2" t="s">
        <v>1</v>
      </c>
    </row>
    <row r="14">
      <c r="B14" s="4" t="s">
        <v>2</v>
      </c>
      <c r="C14" s="4" t="s">
        <v>3</v>
      </c>
      <c r="D14" s="4" t="s">
        <v>4</v>
      </c>
      <c r="E14" s="4" t="s">
        <v>5</v>
      </c>
      <c r="F14" s="4" t="s">
        <v>6</v>
      </c>
      <c r="G14" s="4" t="s">
        <v>7</v>
      </c>
      <c r="H14" s="4" t="s">
        <v>8</v>
      </c>
      <c r="I14" s="4" t="s">
        <v>9</v>
      </c>
      <c r="J14" s="4" t="s">
        <v>10</v>
      </c>
      <c r="K14" s="4" t="s">
        <v>11</v>
      </c>
      <c r="L14" s="4" t="s">
        <v>12</v>
      </c>
      <c r="M14" s="4" t="s">
        <v>13</v>
      </c>
      <c r="N14" s="4" t="s">
        <v>14</v>
      </c>
      <c r="O14" s="4" t="s">
        <v>3</v>
      </c>
      <c r="P14" s="4" t="s">
        <v>4</v>
      </c>
      <c r="Q14" s="4" t="s">
        <v>5</v>
      </c>
      <c r="R14" s="4" t="s">
        <v>6</v>
      </c>
      <c r="S14" s="4" t="s">
        <v>7</v>
      </c>
      <c r="T14" s="4" t="s">
        <v>8</v>
      </c>
      <c r="U14" s="4" t="s">
        <v>9</v>
      </c>
      <c r="V14" s="4" t="s">
        <v>10</v>
      </c>
    </row>
    <row r="15">
      <c r="B15" s="5" t="s">
        <v>15</v>
      </c>
      <c r="C15" s="6">
        <v>0.925</v>
      </c>
      <c r="D15" s="6">
        <v>0.950509498907525</v>
      </c>
      <c r="E15" s="6">
        <v>0.940083475198142</v>
      </c>
      <c r="F15" s="6">
        <v>0.910777886349058</v>
      </c>
      <c r="G15" s="6">
        <v>0.896780631915815</v>
      </c>
      <c r="H15" s="6">
        <v>0.902727021869636</v>
      </c>
      <c r="I15" s="7">
        <v>4.3</v>
      </c>
      <c r="J15" s="7">
        <v>3.2</v>
      </c>
      <c r="K15" s="8">
        <v>145.8</v>
      </c>
      <c r="L15" s="8">
        <v>54.2</v>
      </c>
      <c r="M15" s="8">
        <v>434.2</v>
      </c>
      <c r="N15" s="8">
        <v>165.8</v>
      </c>
      <c r="O15" s="8">
        <v>0.0141421356237309</v>
      </c>
      <c r="P15" s="8">
        <v>0.00865501935140308</v>
      </c>
      <c r="Q15" s="8">
        <v>0.0160873340523183</v>
      </c>
      <c r="R15" s="8">
        <v>0.0157568086562783</v>
      </c>
      <c r="S15" s="8">
        <v>0.0245725824134734</v>
      </c>
      <c r="T15" s="8">
        <v>0.0185244114173595</v>
      </c>
      <c r="U15" s="8">
        <v>1.16619037896905</v>
      </c>
      <c r="V15" s="8">
        <v>1.16619037896906</v>
      </c>
    </row>
    <row r="16">
      <c r="B16" s="5" t="s">
        <v>16</v>
      </c>
      <c r="C16" s="6">
        <v>0.671559797601593</v>
      </c>
      <c r="D16" s="6">
        <v>0.645033758581247</v>
      </c>
      <c r="E16" s="6">
        <v>0.613772087385751</v>
      </c>
      <c r="F16" s="6">
        <v>0.511214711104051</v>
      </c>
      <c r="G16" s="6">
        <v>0.521334473491522</v>
      </c>
      <c r="H16" s="6">
        <v>0.471579604125281</v>
      </c>
      <c r="I16" s="7">
        <v>3.80759917235513</v>
      </c>
      <c r="J16" s="7">
        <v>29.0364210674855</v>
      </c>
      <c r="K16" s="8">
        <v>60.4</v>
      </c>
      <c r="L16" s="8">
        <v>128.4</v>
      </c>
      <c r="M16" s="8">
        <v>133.6</v>
      </c>
      <c r="N16" s="8">
        <v>396.6</v>
      </c>
      <c r="O16" s="8">
        <v>0.0268751936973277</v>
      </c>
      <c r="P16" s="8">
        <v>0.0263401645559105</v>
      </c>
      <c r="Q16" s="8">
        <v>0.0283667726900127</v>
      </c>
      <c r="R16" s="8">
        <v>0.111458192156031</v>
      </c>
      <c r="S16" s="8">
        <v>0.029326186048388</v>
      </c>
      <c r="T16" s="8">
        <v>0.062134547773975</v>
      </c>
      <c r="U16" s="8">
        <v>2.19474462754195</v>
      </c>
      <c r="V16" s="8">
        <v>4.77115465993612</v>
      </c>
    </row>
    <row r="17">
      <c r="B17" s="5" t="s">
        <v>17</v>
      </c>
      <c r="C17" s="6">
        <v>0.865</v>
      </c>
      <c r="D17" s="6">
        <v>0.930805770833477</v>
      </c>
      <c r="E17" s="6">
        <v>0.915329214440474</v>
      </c>
      <c r="F17" s="6">
        <v>0.860919650047517</v>
      </c>
      <c r="G17" s="6">
        <v>0.862102576618122</v>
      </c>
      <c r="H17" s="6">
        <v>0.860589635475911</v>
      </c>
      <c r="I17" s="7">
        <v>7.3</v>
      </c>
      <c r="J17" s="7">
        <v>6.2</v>
      </c>
      <c r="K17" s="8">
        <v>83.4</v>
      </c>
      <c r="L17" s="8">
        <v>116.6</v>
      </c>
      <c r="M17" s="8">
        <v>288.4</v>
      </c>
      <c r="N17" s="8">
        <v>311.6</v>
      </c>
      <c r="O17" s="8">
        <v>0.0134164078649987</v>
      </c>
      <c r="P17" s="8">
        <v>0.014922490468951</v>
      </c>
      <c r="Q17" s="8">
        <v>0.0238450644048491</v>
      </c>
      <c r="R17" s="8">
        <v>0.0143309257400267</v>
      </c>
      <c r="S17" s="8">
        <v>0.0125686016412602</v>
      </c>
      <c r="T17" s="8">
        <v>0.0135171641433179</v>
      </c>
      <c r="U17" s="8">
        <v>1.96468827043885</v>
      </c>
      <c r="V17" s="8">
        <v>1.28840987267251</v>
      </c>
    </row>
    <row r="18">
      <c r="B18" s="5" t="s">
        <v>18</v>
      </c>
      <c r="C18" s="6">
        <v>0.402</v>
      </c>
      <c r="D18" s="6">
        <v>0.708440179313626</v>
      </c>
      <c r="E18" s="6">
        <v>0.636828600133905</v>
      </c>
      <c r="F18" s="6">
        <v>0.644377443722307</v>
      </c>
      <c r="G18" s="6">
        <v>0.583883054580347</v>
      </c>
      <c r="H18" s="6">
        <v>0.387842336601105</v>
      </c>
      <c r="I18" s="7">
        <v>0.4</v>
      </c>
      <c r="J18" s="7">
        <v>59.4</v>
      </c>
      <c r="K18" s="8">
        <v>145.2</v>
      </c>
      <c r="L18" s="8">
        <v>54.8</v>
      </c>
      <c r="M18" s="8">
        <v>253.8</v>
      </c>
      <c r="N18" s="8">
        <v>261.2</v>
      </c>
      <c r="O18" s="8">
        <v>0.0614491659829488</v>
      </c>
      <c r="P18" s="8">
        <v>0.0788788018794352</v>
      </c>
      <c r="Q18" s="8">
        <v>0.0404724482663085</v>
      </c>
      <c r="R18" s="8">
        <v>0.0238431209989135</v>
      </c>
      <c r="S18" s="8">
        <v>0.036332174975965</v>
      </c>
      <c r="T18" s="8">
        <v>0.0700858677700171</v>
      </c>
      <c r="U18" s="8">
        <v>0.489897948556635</v>
      </c>
      <c r="V18" s="8">
        <v>6.24819974072532</v>
      </c>
    </row>
    <row r="19">
      <c r="B19" s="5" t="s">
        <v>19</v>
      </c>
      <c r="C19" s="6">
        <v>0.855999999999999</v>
      </c>
      <c r="D19" s="6">
        <v>0.894959359708784</v>
      </c>
      <c r="E19" s="6">
        <v>0.824842038432532</v>
      </c>
      <c r="F19" s="6">
        <v>0.785954353926931</v>
      </c>
      <c r="G19" s="6">
        <v>0.692784331818074</v>
      </c>
      <c r="H19" s="6">
        <v>0.721862587096458</v>
      </c>
      <c r="I19" s="7">
        <v>3.6</v>
      </c>
      <c r="J19" s="7">
        <v>10.8</v>
      </c>
      <c r="K19" s="8">
        <v>37.8</v>
      </c>
      <c r="L19" s="8">
        <v>162.2</v>
      </c>
      <c r="M19" s="8">
        <v>126.4</v>
      </c>
      <c r="N19" s="8">
        <v>376.6</v>
      </c>
      <c r="O19" s="8">
        <v>0.0198494332412792</v>
      </c>
      <c r="P19" s="8">
        <v>0.0395412213575524</v>
      </c>
      <c r="Q19" s="8">
        <v>0.043101342158744</v>
      </c>
      <c r="R19" s="8">
        <v>0.0368681371532289</v>
      </c>
      <c r="S19" s="8">
        <v>0.0345599850854739</v>
      </c>
      <c r="T19" s="8">
        <v>0.0369136554811336</v>
      </c>
      <c r="U19" s="8">
        <v>1.01980390271855</v>
      </c>
      <c r="V19" s="8">
        <v>1.53622914957372</v>
      </c>
    </row>
    <row r="20">
      <c r="B20" s="5" t="s">
        <v>20</v>
      </c>
      <c r="C20" s="6">
        <v>0.861</v>
      </c>
      <c r="D20" s="6">
        <v>0.80126977563511</v>
      </c>
      <c r="E20" s="6">
        <v>0.715705328221613</v>
      </c>
      <c r="F20" s="6">
        <v>0.702259495875541</v>
      </c>
      <c r="G20" s="6">
        <v>0.673897082141638</v>
      </c>
      <c r="H20" s="6">
        <v>0.685453993068875</v>
      </c>
      <c r="I20" s="7">
        <v>6.1</v>
      </c>
      <c r="J20" s="7">
        <v>7.8</v>
      </c>
      <c r="K20" s="8">
        <v>26.8</v>
      </c>
      <c r="L20" s="8">
        <v>173.2</v>
      </c>
      <c r="M20" s="8">
        <v>129.8</v>
      </c>
      <c r="N20" s="8">
        <v>415.4</v>
      </c>
      <c r="O20" s="8">
        <v>0.0305614135798722</v>
      </c>
      <c r="P20" s="8">
        <v>0.037036417332784</v>
      </c>
      <c r="Q20" s="8">
        <v>0.0294081064220061</v>
      </c>
      <c r="R20" s="8">
        <v>0.0444628090568174</v>
      </c>
      <c r="S20" s="8">
        <v>0.0236876612514587</v>
      </c>
      <c r="T20" s="8">
        <v>0.0312481373318327</v>
      </c>
      <c r="U20" s="8">
        <v>2.1540659228538</v>
      </c>
      <c r="V20" s="8">
        <v>1.0295630140987</v>
      </c>
    </row>
    <row r="21">
      <c r="B21" s="5" t="s">
        <v>21</v>
      </c>
      <c r="C21" s="6">
        <v>0.882</v>
      </c>
      <c r="D21" s="6">
        <v>0.920147237932543</v>
      </c>
      <c r="E21" s="6">
        <v>0.890187601093496</v>
      </c>
      <c r="F21" s="6">
        <v>0.864974711769911</v>
      </c>
      <c r="G21" s="6">
        <v>0.86285414509404</v>
      </c>
      <c r="H21" s="6">
        <v>0.86354164842928</v>
      </c>
      <c r="I21" s="7">
        <v>5.7</v>
      </c>
      <c r="J21" s="7">
        <v>6.1</v>
      </c>
      <c r="K21" s="8">
        <v>64.8</v>
      </c>
      <c r="L21" s="8">
        <v>135.2</v>
      </c>
      <c r="M21" s="8">
        <v>193.4</v>
      </c>
      <c r="N21" s="8">
        <v>351.4</v>
      </c>
      <c r="O21" s="8">
        <v>0.0229346898823594</v>
      </c>
      <c r="P21" s="8">
        <v>0.0278162004006087</v>
      </c>
      <c r="Q21" s="8">
        <v>0.0431658350085449</v>
      </c>
      <c r="R21" s="8">
        <v>0.0263454368988459</v>
      </c>
      <c r="S21" s="8">
        <v>0.0297161702192511</v>
      </c>
      <c r="T21" s="8">
        <v>0.0277435227796467</v>
      </c>
      <c r="U21" s="8">
        <v>0.92736184954957</v>
      </c>
      <c r="V21" s="8">
        <v>1.8275666882497</v>
      </c>
    </row>
    <row r="22">
      <c r="A22" s="10"/>
      <c r="B22" s="5" t="s">
        <v>22</v>
      </c>
      <c r="C22" s="6">
        <f t="shared" ref="C22:J22" si="3">MEDIAN(C15:C21)</f>
        <v>0.861</v>
      </c>
      <c r="D22" s="6">
        <f t="shared" si="3"/>
        <v>0.8949593597</v>
      </c>
      <c r="E22" s="6">
        <f t="shared" si="3"/>
        <v>0.8248420384</v>
      </c>
      <c r="F22" s="6">
        <f t="shared" si="3"/>
        <v>0.7859543539</v>
      </c>
      <c r="G22" s="6">
        <f t="shared" si="3"/>
        <v>0.6927843318</v>
      </c>
      <c r="H22" s="6">
        <f t="shared" si="3"/>
        <v>0.7218625871</v>
      </c>
      <c r="I22" s="7">
        <f t="shared" si="3"/>
        <v>4.3</v>
      </c>
      <c r="J22" s="7">
        <f t="shared" si="3"/>
        <v>7.8</v>
      </c>
      <c r="K22" s="10"/>
      <c r="L22" s="10"/>
      <c r="M22" s="10"/>
      <c r="N22" s="10"/>
      <c r="O22" s="11">
        <f t="shared" ref="O22:T22" si="4">MEDIAN(O15:O21)</f>
        <v>0.02293468988</v>
      </c>
      <c r="P22" s="11">
        <f t="shared" si="4"/>
        <v>0.0278162004</v>
      </c>
      <c r="Q22" s="11">
        <f t="shared" si="4"/>
        <v>0.02940810642</v>
      </c>
      <c r="R22" s="11">
        <f t="shared" si="4"/>
        <v>0.0263454369</v>
      </c>
      <c r="S22" s="11">
        <f t="shared" si="4"/>
        <v>0.02932618605</v>
      </c>
      <c r="T22" s="11">
        <f t="shared" si="4"/>
        <v>0.03124813733</v>
      </c>
      <c r="U22" s="10"/>
      <c r="V22" s="10"/>
      <c r="W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>
      <c r="A24" s="12"/>
      <c r="B24" s="11"/>
      <c r="C24" s="11"/>
      <c r="D24" s="11"/>
      <c r="E24" s="11"/>
      <c r="F24" s="11"/>
      <c r="G24" s="11"/>
      <c r="H24" s="13"/>
      <c r="I24" s="13"/>
      <c r="J24" s="12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>
      <c r="A25" s="12"/>
      <c r="B25" s="11"/>
      <c r="C25" s="11"/>
      <c r="D25" s="11"/>
      <c r="E25" s="11"/>
      <c r="F25" s="11"/>
      <c r="G25" s="11"/>
      <c r="H25" s="13"/>
      <c r="I25" s="13"/>
      <c r="J25" s="12"/>
      <c r="K25" s="10"/>
      <c r="L25" s="14" t="s">
        <v>24</v>
      </c>
      <c r="M25" s="10"/>
      <c r="N25" s="10"/>
      <c r="O25" s="10"/>
      <c r="P25" s="10"/>
      <c r="Q25" s="14" t="s">
        <v>25</v>
      </c>
      <c r="R25" s="10"/>
      <c r="S25" s="10"/>
      <c r="T25" s="10"/>
      <c r="U25" s="10"/>
      <c r="V25" s="10"/>
      <c r="W25" s="10"/>
    </row>
    <row r="26">
      <c r="A26" s="12"/>
      <c r="B26" s="11"/>
      <c r="C26" s="11"/>
      <c r="D26" s="11"/>
      <c r="E26" s="11"/>
      <c r="F26" s="11"/>
      <c r="G26" s="11"/>
      <c r="H26" s="13"/>
      <c r="I26" s="13"/>
      <c r="J26" s="12"/>
      <c r="K26" s="10"/>
      <c r="L26" s="4"/>
      <c r="M26" s="4" t="s">
        <v>26</v>
      </c>
      <c r="N26" s="4" t="s">
        <v>27</v>
      </c>
      <c r="O26" s="4" t="s">
        <v>28</v>
      </c>
      <c r="P26" s="10"/>
      <c r="Q26" s="4"/>
      <c r="R26" s="4" t="s">
        <v>26</v>
      </c>
      <c r="S26" s="4" t="s">
        <v>27</v>
      </c>
      <c r="T26" s="4" t="s">
        <v>28</v>
      </c>
      <c r="U26" s="10"/>
      <c r="V26" s="10"/>
      <c r="W26" s="10"/>
    </row>
    <row r="27">
      <c r="A27" s="12"/>
      <c r="B27" s="11"/>
      <c r="C27" s="11"/>
      <c r="D27" s="11"/>
      <c r="E27" s="11"/>
      <c r="F27" s="11"/>
      <c r="G27" s="11"/>
      <c r="H27" s="13"/>
      <c r="I27" s="13"/>
      <c r="J27" s="12"/>
      <c r="K27" s="10"/>
      <c r="L27" s="4" t="s">
        <v>29</v>
      </c>
      <c r="M27" s="15">
        <f t="shared" ref="M27:N27" si="5">C11</f>
        <v>0.789</v>
      </c>
      <c r="N27" s="15">
        <f t="shared" si="5"/>
        <v>0.685940526</v>
      </c>
      <c r="O27" s="9">
        <f>H11</f>
        <v>0.6720634266</v>
      </c>
      <c r="P27" s="10"/>
      <c r="Q27" s="4" t="s">
        <v>29</v>
      </c>
      <c r="R27" s="11">
        <f t="shared" ref="R27:S27" si="6">O11</f>
        <v>0.030757113</v>
      </c>
      <c r="S27" s="11">
        <f t="shared" si="6"/>
        <v>0.050538861</v>
      </c>
      <c r="T27" s="11">
        <f>T11</f>
        <v>0.01912832781</v>
      </c>
      <c r="U27" s="10"/>
      <c r="V27" s="10"/>
      <c r="W27" s="10"/>
    </row>
    <row r="28">
      <c r="A28" s="12"/>
      <c r="B28" s="16" t="s">
        <v>30</v>
      </c>
      <c r="C28" s="16" t="s">
        <v>31</v>
      </c>
      <c r="D28" s="16" t="s">
        <v>32</v>
      </c>
      <c r="E28" s="16" t="s">
        <v>33</v>
      </c>
      <c r="F28" s="11"/>
      <c r="G28" s="11"/>
      <c r="H28" s="13"/>
      <c r="I28" s="13"/>
      <c r="J28" s="12"/>
      <c r="K28" s="10"/>
      <c r="L28" s="4" t="s">
        <v>34</v>
      </c>
      <c r="M28" s="15">
        <f t="shared" ref="M28:N28" si="7">C22</f>
        <v>0.861</v>
      </c>
      <c r="N28" s="15">
        <f t="shared" si="7"/>
        <v>0.8949593597</v>
      </c>
      <c r="O28" s="9">
        <f>H22</f>
        <v>0.7218625871</v>
      </c>
      <c r="P28" s="10"/>
      <c r="Q28" s="4" t="s">
        <v>34</v>
      </c>
      <c r="R28" s="11">
        <f t="shared" ref="R28:S28" si="8">O22</f>
        <v>0.02293468988</v>
      </c>
      <c r="S28" s="11">
        <f t="shared" si="8"/>
        <v>0.0278162004</v>
      </c>
      <c r="T28" s="11">
        <f>T22</f>
        <v>0.03124813733</v>
      </c>
      <c r="U28" s="10"/>
      <c r="V28" s="10"/>
      <c r="W28" s="10"/>
    </row>
    <row r="29">
      <c r="A29" s="12"/>
      <c r="B29" s="17" t="s">
        <v>35</v>
      </c>
      <c r="F29" s="11"/>
      <c r="G29" s="11"/>
      <c r="H29" s="13"/>
      <c r="I29" s="13"/>
      <c r="J29" s="12"/>
      <c r="K29" s="10"/>
      <c r="L29" s="4" t="s">
        <v>36</v>
      </c>
      <c r="M29" s="15">
        <f t="shared" ref="M29:N29" si="9">Y171</f>
        <v>0.913</v>
      </c>
      <c r="N29" s="15">
        <f t="shared" si="9"/>
        <v>0.9447047974</v>
      </c>
      <c r="O29" s="9">
        <f>AD171</f>
        <v>0.8733429278</v>
      </c>
      <c r="P29" s="10"/>
      <c r="Q29" s="4" t="s">
        <v>36</v>
      </c>
      <c r="R29" s="10">
        <f t="shared" ref="R29:S29" si="10">AK171</f>
        <v>0.02</v>
      </c>
      <c r="S29" s="11">
        <f t="shared" si="10"/>
        <v>0.01728714288</v>
      </c>
      <c r="T29" s="11">
        <f>AP171</f>
        <v>0.02350432841</v>
      </c>
      <c r="U29" s="10"/>
      <c r="V29" s="10"/>
      <c r="W29" s="10"/>
    </row>
    <row r="30">
      <c r="A30" s="12"/>
      <c r="B30" s="5" t="s">
        <v>37</v>
      </c>
      <c r="C30" s="18">
        <v>618.0</v>
      </c>
      <c r="D30" s="18">
        <v>230.0</v>
      </c>
      <c r="E30" s="18">
        <v>848.0</v>
      </c>
      <c r="F30" s="11"/>
      <c r="G30" s="11"/>
      <c r="H30" s="13"/>
      <c r="I30" s="13"/>
      <c r="J30" s="12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</row>
    <row r="31">
      <c r="A31" s="11"/>
      <c r="B31" s="5" t="s">
        <v>38</v>
      </c>
      <c r="C31" s="18">
        <v>99.0</v>
      </c>
      <c r="D31" s="18">
        <v>593.0</v>
      </c>
      <c r="E31" s="18">
        <v>692.0</v>
      </c>
      <c r="F31" s="11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</row>
    <row r="32">
      <c r="A32" s="11"/>
      <c r="B32" s="5" t="s">
        <v>39</v>
      </c>
      <c r="C32" s="18">
        <v>426.0</v>
      </c>
      <c r="D32" s="18">
        <v>422.0</v>
      </c>
      <c r="E32" s="18">
        <v>848.0</v>
      </c>
      <c r="F32" s="11"/>
      <c r="K32" s="12"/>
      <c r="L32" s="12"/>
      <c r="M32" s="12"/>
      <c r="N32" s="12"/>
      <c r="O32" s="10"/>
      <c r="P32" s="12"/>
      <c r="Q32" s="12"/>
      <c r="R32" s="12"/>
      <c r="S32" s="12"/>
      <c r="T32" s="12"/>
      <c r="U32" s="12"/>
    </row>
    <row r="33">
      <c r="A33" s="11"/>
      <c r="B33" s="5" t="s">
        <v>40</v>
      </c>
      <c r="C33" s="18">
        <v>102.0</v>
      </c>
      <c r="D33" s="18">
        <v>503.0</v>
      </c>
      <c r="E33" s="18">
        <v>605.0</v>
      </c>
      <c r="F33" s="11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>
      <c r="A34" s="11"/>
      <c r="B34" s="5" t="s">
        <v>41</v>
      </c>
      <c r="C34" s="18">
        <v>186.0</v>
      </c>
      <c r="D34" s="18">
        <v>393.0</v>
      </c>
      <c r="E34" s="18">
        <v>579.0</v>
      </c>
      <c r="F34" s="11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>
      <c r="A35" s="11"/>
      <c r="B35" s="5" t="s">
        <v>42</v>
      </c>
      <c r="C35" s="18">
        <v>226.0</v>
      </c>
      <c r="D35" s="18">
        <v>467.0</v>
      </c>
      <c r="E35" s="18">
        <v>693.0</v>
      </c>
      <c r="F35" s="11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>
      <c r="A36" s="11"/>
      <c r="B36" s="5" t="s">
        <v>43</v>
      </c>
      <c r="C36" s="18">
        <v>266.0</v>
      </c>
      <c r="D36" s="18">
        <v>426.0</v>
      </c>
      <c r="E36" s="18">
        <v>692.0</v>
      </c>
      <c r="F36" s="11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>
      <c r="A37" s="11"/>
      <c r="B37" s="14" t="s">
        <v>44</v>
      </c>
      <c r="F37" s="11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>
      <c r="A38" s="11"/>
      <c r="B38" s="5" t="s">
        <v>37</v>
      </c>
      <c r="C38" s="18">
        <v>1148.0</v>
      </c>
      <c r="D38" s="18">
        <v>427.0</v>
      </c>
      <c r="E38" s="18">
        <v>1575.0</v>
      </c>
    </row>
    <row r="39">
      <c r="A39" s="11"/>
      <c r="B39" s="5" t="s">
        <v>38</v>
      </c>
      <c r="C39" s="18">
        <v>504.0</v>
      </c>
      <c r="D39" s="18">
        <v>982.0</v>
      </c>
      <c r="E39" s="18">
        <v>1486.0</v>
      </c>
    </row>
    <row r="40">
      <c r="A40" s="11"/>
      <c r="B40" s="5" t="s">
        <v>39</v>
      </c>
      <c r="C40" s="18">
        <v>703.0</v>
      </c>
      <c r="D40" s="18">
        <v>872.0</v>
      </c>
      <c r="E40" s="18">
        <v>1575.0</v>
      </c>
      <c r="F40" s="11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</row>
    <row r="41">
      <c r="A41" s="11"/>
      <c r="B41" s="5" t="s">
        <v>40</v>
      </c>
      <c r="C41" s="18">
        <v>1155.0</v>
      </c>
      <c r="D41" s="18">
        <v>420.0</v>
      </c>
      <c r="E41" s="18">
        <v>1575.0</v>
      </c>
      <c r="F41" s="11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</row>
    <row r="42">
      <c r="A42" s="11"/>
      <c r="B42" s="5" t="s">
        <v>41</v>
      </c>
      <c r="C42" s="18">
        <v>306.0</v>
      </c>
      <c r="D42" s="18">
        <v>1269.0</v>
      </c>
      <c r="E42" s="18">
        <v>1575.0</v>
      </c>
      <c r="F42" s="11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</row>
    <row r="43">
      <c r="A43" s="10"/>
      <c r="B43" s="5" t="s">
        <v>42</v>
      </c>
      <c r="C43" s="18">
        <v>248.0</v>
      </c>
      <c r="D43" s="18">
        <v>1327.0</v>
      </c>
      <c r="E43" s="18">
        <v>1575.0</v>
      </c>
      <c r="F43" s="11"/>
      <c r="K43" s="12"/>
      <c r="L43" s="12"/>
      <c r="M43" s="12"/>
      <c r="N43" s="12"/>
      <c r="O43" s="12"/>
      <c r="P43" s="10"/>
      <c r="Q43" s="12"/>
      <c r="R43" s="12"/>
      <c r="S43" s="12"/>
      <c r="T43" s="12"/>
      <c r="U43" s="12"/>
      <c r="V43" s="12"/>
    </row>
    <row r="44">
      <c r="A44" s="10"/>
      <c r="B44" s="5" t="s">
        <v>43</v>
      </c>
      <c r="C44" s="18">
        <v>528.0</v>
      </c>
      <c r="D44" s="18">
        <v>1047.0</v>
      </c>
      <c r="E44" s="18">
        <v>1575.0</v>
      </c>
      <c r="F44" s="11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</row>
    <row r="45">
      <c r="A45" s="12"/>
      <c r="B45" s="12"/>
      <c r="C45" s="12"/>
      <c r="D45" s="12"/>
      <c r="E45" s="12"/>
      <c r="F45" s="11"/>
      <c r="K45" s="12"/>
      <c r="L45" s="12"/>
      <c r="M45" s="12"/>
      <c r="N45" s="12"/>
      <c r="O45" s="12"/>
      <c r="P45" s="10"/>
      <c r="Q45" s="12"/>
      <c r="R45" s="12"/>
      <c r="S45" s="12"/>
      <c r="T45" s="12"/>
      <c r="U45" s="12"/>
      <c r="V45" s="12"/>
    </row>
    <row r="46">
      <c r="A46" s="11"/>
      <c r="B46" s="11"/>
      <c r="C46" s="13"/>
      <c r="D46" s="13"/>
      <c r="E46" s="12"/>
      <c r="F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</row>
    <row r="47">
      <c r="A47" s="11"/>
      <c r="B47" s="11"/>
      <c r="C47" s="13"/>
      <c r="D47" s="13"/>
      <c r="E47" s="12"/>
      <c r="F47" s="10"/>
      <c r="K47" s="10"/>
      <c r="L47" s="10"/>
      <c r="M47" s="10"/>
      <c r="N47" s="10"/>
      <c r="O47" s="12"/>
      <c r="P47" s="12"/>
      <c r="Q47" s="12"/>
      <c r="R47" s="12"/>
      <c r="S47" s="12"/>
      <c r="T47" s="12"/>
      <c r="U47" s="12"/>
      <c r="V47" s="12"/>
    </row>
    <row r="48">
      <c r="A48" s="11"/>
      <c r="B48" s="11"/>
      <c r="C48" s="13"/>
      <c r="D48" s="13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</row>
    <row r="49">
      <c r="A49" s="11"/>
      <c r="B49" s="11"/>
      <c r="C49" s="13"/>
      <c r="D49" s="13"/>
      <c r="E49" s="12"/>
      <c r="F49" s="11"/>
      <c r="G49" s="11"/>
      <c r="H49" s="11"/>
      <c r="I49" s="13"/>
      <c r="J49" s="13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</row>
    <row r="50">
      <c r="A50" s="11"/>
      <c r="B50" s="11"/>
      <c r="C50" s="13"/>
      <c r="D50" s="13"/>
      <c r="E50" s="12"/>
      <c r="F50" s="11"/>
      <c r="G50" s="11"/>
      <c r="H50" s="11"/>
      <c r="I50" s="13"/>
      <c r="J50" s="13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</row>
    <row r="51">
      <c r="A51" s="11"/>
      <c r="B51" s="11"/>
      <c r="C51" s="13"/>
      <c r="D51" s="13"/>
      <c r="E51" s="12"/>
      <c r="F51" s="11"/>
      <c r="G51" s="11"/>
      <c r="H51" s="11"/>
      <c r="I51" s="13"/>
      <c r="J51" s="13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</row>
    <row r="52">
      <c r="A52" s="11"/>
      <c r="B52" s="11"/>
      <c r="C52" s="13"/>
      <c r="D52" s="13"/>
      <c r="E52" s="12"/>
      <c r="F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</row>
    <row r="53">
      <c r="A53" s="11"/>
      <c r="B53" s="11"/>
      <c r="C53" s="13"/>
      <c r="D53" s="13"/>
      <c r="E53" s="12"/>
      <c r="F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</row>
    <row r="54">
      <c r="A54" s="11"/>
      <c r="B54" s="11"/>
      <c r="C54" s="13"/>
      <c r="D54" s="13"/>
      <c r="E54" s="12"/>
      <c r="F54" s="11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</row>
    <row r="55">
      <c r="A55" s="11"/>
      <c r="B55" s="11"/>
      <c r="C55" s="13"/>
      <c r="D55" s="13"/>
      <c r="E55" s="12"/>
      <c r="F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</row>
    <row r="56">
      <c r="A56" s="11"/>
      <c r="B56" s="11"/>
      <c r="C56" s="13"/>
      <c r="D56" s="13"/>
      <c r="E56" s="12"/>
      <c r="F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</row>
    <row r="57">
      <c r="A57" s="11"/>
      <c r="B57" s="11"/>
      <c r="C57" s="13"/>
      <c r="D57" s="13"/>
      <c r="E57" s="12"/>
      <c r="F57" s="11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</row>
    <row r="58">
      <c r="A58" s="11"/>
      <c r="B58" s="11"/>
      <c r="C58" s="13"/>
      <c r="D58" s="13"/>
      <c r="E58" s="12"/>
      <c r="F58" s="11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</row>
    <row r="59">
      <c r="A59" s="11"/>
      <c r="B59" s="11"/>
      <c r="C59" s="13"/>
      <c r="D59" s="13"/>
      <c r="E59" s="12"/>
      <c r="F59" s="11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</row>
    <row r="60">
      <c r="A60" s="10"/>
      <c r="B60" s="10"/>
      <c r="C60" s="10"/>
      <c r="D60" s="10"/>
      <c r="E60" s="10"/>
      <c r="F60" s="11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</row>
    <row r="61">
      <c r="A61" s="10"/>
      <c r="B61" s="10"/>
      <c r="C61" s="10"/>
      <c r="D61" s="10"/>
      <c r="E61" s="10"/>
      <c r="F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</row>
    <row r="62">
      <c r="A62" s="12"/>
      <c r="B62" s="12"/>
      <c r="C62" s="12"/>
      <c r="D62" s="12"/>
      <c r="E62" s="12"/>
      <c r="F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</row>
    <row r="63">
      <c r="A63" s="11"/>
      <c r="B63" s="11"/>
      <c r="C63" s="13"/>
      <c r="D63" s="13"/>
      <c r="E63" s="12"/>
      <c r="F63" s="11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</row>
    <row r="64">
      <c r="A64" s="11"/>
      <c r="B64" s="11"/>
      <c r="C64" s="13"/>
      <c r="D64" s="13"/>
      <c r="E64" s="12"/>
      <c r="F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</row>
    <row r="65">
      <c r="A65" s="11"/>
      <c r="B65" s="11"/>
      <c r="C65" s="13"/>
      <c r="D65" s="13"/>
      <c r="E65" s="12"/>
      <c r="F65" s="10"/>
      <c r="L65" s="10"/>
      <c r="M65" s="10"/>
      <c r="N65" s="10"/>
      <c r="O65" s="12"/>
      <c r="P65" s="12"/>
      <c r="Q65" s="12"/>
      <c r="R65" s="12"/>
      <c r="S65" s="12"/>
      <c r="T65" s="12"/>
      <c r="U65" s="12"/>
      <c r="V65" s="12"/>
    </row>
    <row r="66">
      <c r="A66" s="11"/>
      <c r="B66" s="11"/>
      <c r="C66" s="13"/>
      <c r="D66" s="13"/>
      <c r="E66" s="12"/>
      <c r="F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</row>
    <row r="67">
      <c r="A67" s="11"/>
      <c r="B67" s="11"/>
      <c r="C67" s="13"/>
      <c r="D67" s="13"/>
      <c r="E67" s="12"/>
      <c r="F67" s="11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</row>
    <row r="68">
      <c r="A68" s="11"/>
      <c r="B68" s="11"/>
      <c r="C68" s="13"/>
      <c r="D68" s="13"/>
      <c r="E68" s="12"/>
      <c r="F68" s="11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</row>
    <row r="69">
      <c r="A69" s="11"/>
      <c r="B69" s="11"/>
      <c r="C69" s="13"/>
      <c r="D69" s="13"/>
      <c r="E69" s="12"/>
      <c r="F69" s="12"/>
      <c r="G69" s="12"/>
      <c r="H69" s="12"/>
      <c r="I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</row>
    <row r="70">
      <c r="A70" s="11"/>
      <c r="B70" s="11"/>
      <c r="C70" s="13"/>
      <c r="D70" s="13"/>
      <c r="E70" s="12"/>
      <c r="F70" s="11"/>
      <c r="G70" s="11"/>
      <c r="H70" s="11"/>
      <c r="I70" s="13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</row>
    <row r="71">
      <c r="A71" s="11"/>
      <c r="B71" s="11"/>
      <c r="C71" s="13"/>
      <c r="D71" s="13"/>
      <c r="E71" s="12"/>
      <c r="F71" s="11"/>
      <c r="G71" s="11"/>
      <c r="H71" s="11"/>
      <c r="I71" s="13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</row>
    <row r="72">
      <c r="A72" s="11"/>
      <c r="B72" s="11"/>
      <c r="C72" s="13"/>
      <c r="D72" s="13"/>
      <c r="E72" s="12"/>
      <c r="F72" s="11"/>
      <c r="G72" s="11"/>
      <c r="H72" s="11"/>
      <c r="I72" s="13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</row>
    <row r="73">
      <c r="A73" s="11"/>
      <c r="B73" s="11"/>
      <c r="C73" s="13"/>
      <c r="D73" s="13"/>
      <c r="E73" s="12"/>
      <c r="F73" s="11"/>
      <c r="L73" s="12"/>
      <c r="M73" s="12"/>
      <c r="N73" s="12"/>
      <c r="O73" s="12"/>
      <c r="P73" s="10"/>
      <c r="Q73" s="12"/>
      <c r="R73" s="12"/>
      <c r="S73" s="12"/>
      <c r="T73" s="12"/>
      <c r="U73" s="12"/>
      <c r="V73" s="12"/>
    </row>
    <row r="74">
      <c r="A74" s="11"/>
      <c r="B74" s="11"/>
      <c r="C74" s="13"/>
      <c r="D74" s="13"/>
      <c r="E74" s="12"/>
      <c r="F74" s="11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</row>
    <row r="75">
      <c r="A75" s="11"/>
      <c r="B75" s="11"/>
      <c r="C75" s="13"/>
      <c r="D75" s="13"/>
      <c r="E75" s="12"/>
      <c r="F75" s="11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</row>
    <row r="76">
      <c r="A76" s="11"/>
      <c r="B76" s="11"/>
      <c r="C76" s="13"/>
      <c r="D76" s="13"/>
      <c r="E76" s="12"/>
      <c r="F76" s="11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</row>
    <row r="77">
      <c r="A77" s="11"/>
      <c r="B77" s="11"/>
      <c r="C77" s="13"/>
      <c r="D77" s="13"/>
      <c r="E77" s="12"/>
      <c r="F77" s="11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</row>
    <row r="78">
      <c r="A78" s="11"/>
      <c r="B78" s="11"/>
      <c r="C78" s="13"/>
      <c r="D78" s="13"/>
      <c r="E78" s="12"/>
      <c r="F78" s="11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</row>
    <row r="79">
      <c r="A79" s="11"/>
      <c r="B79" s="11"/>
      <c r="C79" s="13"/>
      <c r="D79" s="13"/>
      <c r="E79" s="12"/>
      <c r="F79" s="11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</row>
    <row r="80">
      <c r="A80" s="11"/>
      <c r="B80" s="11"/>
      <c r="C80" s="13"/>
      <c r="D80" s="13"/>
      <c r="E80" s="12"/>
      <c r="F80" s="11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</row>
    <row r="81">
      <c r="A81" s="10"/>
      <c r="B81" s="10"/>
      <c r="C81" s="10"/>
      <c r="D81" s="10"/>
      <c r="E81" s="10"/>
      <c r="F81" s="11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</row>
    <row r="82">
      <c r="A82" s="10"/>
      <c r="B82" s="10"/>
      <c r="C82" s="10"/>
      <c r="D82" s="10"/>
      <c r="E82" s="10"/>
      <c r="F82" s="11"/>
      <c r="L82" s="10"/>
      <c r="M82" s="10"/>
      <c r="N82" s="10"/>
      <c r="O82" s="12"/>
      <c r="P82" s="12"/>
      <c r="Q82" s="12"/>
      <c r="R82" s="12"/>
      <c r="S82" s="12"/>
      <c r="T82" s="12"/>
      <c r="U82" s="12"/>
      <c r="V82" s="12"/>
    </row>
    <row r="83">
      <c r="A83" s="12"/>
      <c r="B83" s="12"/>
      <c r="C83" s="12"/>
      <c r="D83" s="12"/>
      <c r="E83" s="12"/>
      <c r="F83" s="11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</row>
    <row r="84">
      <c r="A84" s="11"/>
      <c r="B84" s="11"/>
      <c r="C84" s="13"/>
      <c r="D84" s="13"/>
      <c r="E84" s="12"/>
      <c r="F84" s="11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</row>
    <row r="85">
      <c r="A85" s="11"/>
      <c r="B85" s="11"/>
      <c r="C85" s="13"/>
      <c r="D85" s="13"/>
      <c r="E85" s="12"/>
      <c r="F85" s="10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</row>
    <row r="86">
      <c r="A86" s="11"/>
      <c r="B86" s="11"/>
      <c r="C86" s="13"/>
      <c r="D86" s="13"/>
      <c r="E86" s="12"/>
      <c r="F86" s="10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</row>
    <row r="87">
      <c r="A87" s="11"/>
      <c r="B87" s="11"/>
      <c r="C87" s="13"/>
      <c r="D87" s="13"/>
      <c r="E87" s="12"/>
      <c r="F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</row>
    <row r="88">
      <c r="A88" s="10"/>
      <c r="B88" s="12"/>
      <c r="C88" s="11"/>
      <c r="D88" s="11"/>
      <c r="E88" s="11"/>
      <c r="F88" s="11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</row>
    <row r="89">
      <c r="A89" s="10"/>
      <c r="B89" s="12"/>
      <c r="C89" s="11"/>
      <c r="D89" s="11"/>
      <c r="E89" s="11"/>
      <c r="F89" s="11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</row>
    <row r="90">
      <c r="A90" s="10"/>
      <c r="B90" s="12"/>
      <c r="C90" s="11"/>
      <c r="D90" s="11"/>
      <c r="E90" s="11"/>
      <c r="F90" s="11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</row>
    <row r="91">
      <c r="A91" s="10"/>
      <c r="B91" s="12"/>
      <c r="C91" s="11"/>
      <c r="D91" s="11"/>
      <c r="E91" s="11"/>
      <c r="F91" s="11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</row>
    <row r="92">
      <c r="A92" s="10"/>
      <c r="B92" s="12"/>
      <c r="C92" s="11"/>
      <c r="D92" s="11"/>
      <c r="E92" s="11"/>
      <c r="F92" s="11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</row>
    <row r="93">
      <c r="A93" s="10"/>
      <c r="B93" s="12"/>
      <c r="C93" s="11"/>
      <c r="D93" s="11"/>
      <c r="E93" s="11"/>
      <c r="F93" s="11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</row>
    <row r="94">
      <c r="A94" s="10"/>
      <c r="B94" s="12"/>
      <c r="C94" s="11"/>
      <c r="D94" s="11"/>
      <c r="E94" s="11"/>
      <c r="F94" s="11"/>
      <c r="G94" s="11"/>
      <c r="H94" s="11"/>
      <c r="I94" s="13"/>
      <c r="J94" s="13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</row>
    <row r="95">
      <c r="A95" s="10"/>
      <c r="B95" s="12"/>
      <c r="C95" s="11"/>
      <c r="D95" s="11"/>
      <c r="E95" s="11"/>
      <c r="F95" s="11"/>
      <c r="G95" s="11"/>
      <c r="H95" s="11"/>
      <c r="I95" s="13"/>
      <c r="J95" s="13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</row>
    <row r="96">
      <c r="A96" s="10"/>
      <c r="B96" s="12"/>
      <c r="C96" s="11"/>
      <c r="D96" s="11"/>
      <c r="E96" s="11"/>
      <c r="F96" s="11"/>
      <c r="G96" s="11"/>
      <c r="H96" s="11"/>
      <c r="I96" s="13"/>
      <c r="J96" s="13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</row>
    <row r="97">
      <c r="A97" s="10"/>
      <c r="B97" s="12"/>
      <c r="C97" s="11"/>
      <c r="D97" s="11"/>
      <c r="E97" s="11"/>
      <c r="F97" s="11"/>
      <c r="G97" s="11"/>
      <c r="H97" s="11"/>
      <c r="I97" s="13"/>
      <c r="J97" s="13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</row>
    <row r="100">
      <c r="A100" s="10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</row>
    <row r="101">
      <c r="A101" s="10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</row>
    <row r="102">
      <c r="A102" s="10"/>
      <c r="B102" s="12"/>
      <c r="C102" s="11"/>
      <c r="D102" s="11"/>
      <c r="E102" s="11"/>
      <c r="F102" s="11"/>
      <c r="G102" s="11"/>
      <c r="H102" s="11"/>
      <c r="I102" s="13"/>
      <c r="J102" s="13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</row>
    <row r="103">
      <c r="A103" s="10"/>
      <c r="B103" s="12"/>
      <c r="C103" s="11"/>
      <c r="D103" s="11"/>
      <c r="E103" s="11"/>
      <c r="F103" s="11"/>
      <c r="G103" s="11"/>
      <c r="H103" s="11"/>
      <c r="I103" s="13"/>
      <c r="J103" s="13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</row>
    <row r="104">
      <c r="A104" s="10"/>
      <c r="B104" s="12"/>
      <c r="C104" s="11"/>
      <c r="D104" s="11"/>
      <c r="E104" s="11"/>
      <c r="F104" s="11"/>
      <c r="G104" s="11"/>
      <c r="H104" s="11"/>
      <c r="I104" s="13"/>
      <c r="J104" s="13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</row>
    <row r="105">
      <c r="A105" s="10"/>
      <c r="B105" s="12"/>
      <c r="C105" s="11"/>
      <c r="D105" s="11"/>
      <c r="E105" s="11"/>
      <c r="F105" s="11"/>
      <c r="G105" s="11"/>
      <c r="H105" s="11"/>
      <c r="I105" s="13"/>
      <c r="J105" s="13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</row>
    <row r="106">
      <c r="A106" s="10"/>
      <c r="B106" s="12"/>
      <c r="C106" s="11"/>
      <c r="D106" s="11"/>
      <c r="E106" s="11"/>
      <c r="F106" s="11"/>
      <c r="G106" s="11"/>
      <c r="H106" s="11"/>
      <c r="I106" s="13"/>
      <c r="J106" s="13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</row>
    <row r="107">
      <c r="A107" s="10"/>
      <c r="B107" s="12"/>
      <c r="C107" s="11"/>
      <c r="D107" s="11"/>
      <c r="E107" s="11"/>
      <c r="F107" s="11"/>
      <c r="G107" s="11"/>
      <c r="H107" s="11"/>
      <c r="I107" s="13"/>
      <c r="J107" s="13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</row>
    <row r="108">
      <c r="A108" s="10"/>
      <c r="B108" s="12"/>
      <c r="C108" s="11"/>
      <c r="D108" s="11"/>
      <c r="E108" s="11"/>
      <c r="F108" s="11"/>
      <c r="G108" s="11"/>
      <c r="H108" s="11"/>
      <c r="I108" s="13"/>
      <c r="J108" s="13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</row>
    <row r="109">
      <c r="A109" s="10"/>
      <c r="B109" s="12"/>
      <c r="C109" s="11"/>
      <c r="D109" s="11"/>
      <c r="E109" s="11"/>
      <c r="F109" s="11"/>
      <c r="G109" s="11"/>
      <c r="H109" s="11"/>
      <c r="I109" s="13"/>
      <c r="J109" s="13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</row>
    <row r="110">
      <c r="A110" s="10"/>
      <c r="B110" s="12"/>
      <c r="C110" s="11"/>
      <c r="D110" s="11"/>
      <c r="E110" s="11"/>
      <c r="F110" s="11"/>
      <c r="G110" s="11"/>
      <c r="H110" s="11"/>
      <c r="I110" s="13"/>
      <c r="J110" s="13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</row>
    <row r="111">
      <c r="A111" s="10"/>
      <c r="B111" s="12"/>
      <c r="C111" s="11"/>
      <c r="D111" s="11"/>
      <c r="E111" s="11"/>
      <c r="F111" s="11"/>
      <c r="G111" s="11"/>
      <c r="H111" s="11"/>
      <c r="I111" s="13"/>
      <c r="J111" s="13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</row>
    <row r="112">
      <c r="A112" s="10"/>
      <c r="B112" s="12"/>
      <c r="C112" s="11"/>
      <c r="D112" s="11"/>
      <c r="E112" s="11"/>
      <c r="F112" s="11"/>
      <c r="G112" s="11"/>
      <c r="H112" s="11"/>
      <c r="I112" s="13"/>
      <c r="J112" s="13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</row>
    <row r="113">
      <c r="A113" s="10"/>
      <c r="B113" s="12"/>
      <c r="C113" s="11"/>
      <c r="D113" s="11"/>
      <c r="E113" s="11"/>
      <c r="F113" s="11"/>
      <c r="G113" s="11"/>
      <c r="H113" s="11"/>
      <c r="I113" s="13"/>
      <c r="J113" s="13"/>
      <c r="K113" s="12"/>
      <c r="L113" s="12"/>
      <c r="M113" s="12"/>
      <c r="N113" s="12"/>
      <c r="O113" s="12"/>
      <c r="P113" s="10"/>
      <c r="Q113" s="12"/>
      <c r="R113" s="12"/>
      <c r="S113" s="12"/>
      <c r="T113" s="12"/>
      <c r="U113" s="12"/>
      <c r="V113" s="12"/>
    </row>
    <row r="114">
      <c r="A114" s="10"/>
      <c r="B114" s="12"/>
      <c r="C114" s="11"/>
      <c r="D114" s="11"/>
      <c r="E114" s="11"/>
      <c r="F114" s="11"/>
      <c r="G114" s="11"/>
      <c r="H114" s="11"/>
      <c r="I114" s="13"/>
      <c r="J114" s="13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</row>
    <row r="115">
      <c r="A115" s="10"/>
      <c r="B115" s="12"/>
      <c r="C115" s="11"/>
      <c r="D115" s="11"/>
      <c r="E115" s="11"/>
      <c r="F115" s="11"/>
      <c r="G115" s="11"/>
      <c r="H115" s="11"/>
      <c r="I115" s="13"/>
      <c r="J115" s="13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</row>
    <row r="116">
      <c r="A116" s="10"/>
      <c r="B116" s="12"/>
      <c r="C116" s="11"/>
      <c r="D116" s="11"/>
      <c r="E116" s="11"/>
      <c r="F116" s="11"/>
      <c r="G116" s="11"/>
      <c r="H116" s="11"/>
      <c r="I116" s="13"/>
      <c r="J116" s="13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</row>
    <row r="117">
      <c r="A117" s="10"/>
      <c r="B117" s="12"/>
      <c r="C117" s="11"/>
      <c r="D117" s="11"/>
      <c r="E117" s="11"/>
      <c r="F117" s="11"/>
      <c r="G117" s="11"/>
      <c r="H117" s="11"/>
      <c r="I117" s="13"/>
      <c r="J117" s="13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</row>
    <row r="118">
      <c r="A118" s="10"/>
      <c r="B118" s="12"/>
      <c r="C118" s="11"/>
      <c r="D118" s="11"/>
      <c r="E118" s="11"/>
      <c r="F118" s="11"/>
      <c r="G118" s="11"/>
      <c r="H118" s="11"/>
      <c r="I118" s="13"/>
      <c r="J118" s="13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</row>
    <row r="119">
      <c r="A119" s="10"/>
      <c r="B119" s="12"/>
      <c r="C119" s="11"/>
      <c r="D119" s="11"/>
      <c r="E119" s="11"/>
      <c r="F119" s="11"/>
      <c r="G119" s="11"/>
      <c r="H119" s="11"/>
      <c r="I119" s="13"/>
      <c r="J119" s="13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</row>
    <row r="120">
      <c r="A120" s="10"/>
      <c r="B120" s="12"/>
      <c r="C120" s="11"/>
      <c r="D120" s="11"/>
      <c r="E120" s="11"/>
      <c r="F120" s="11"/>
      <c r="G120" s="11"/>
      <c r="H120" s="11"/>
      <c r="I120" s="13"/>
      <c r="J120" s="13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</row>
    <row r="121">
      <c r="A121" s="10"/>
      <c r="B121" s="12"/>
      <c r="C121" s="11"/>
      <c r="D121" s="11"/>
      <c r="E121" s="11"/>
      <c r="F121" s="11"/>
      <c r="G121" s="11"/>
      <c r="H121" s="11"/>
      <c r="I121" s="13"/>
      <c r="J121" s="13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</row>
    <row r="122">
      <c r="A122" s="10"/>
      <c r="B122" s="12"/>
      <c r="C122" s="11"/>
      <c r="D122" s="11"/>
      <c r="E122" s="11"/>
      <c r="F122" s="11"/>
      <c r="G122" s="11"/>
      <c r="H122" s="11"/>
      <c r="I122" s="13"/>
      <c r="J122" s="13"/>
      <c r="K122" s="12"/>
      <c r="L122" s="12"/>
      <c r="M122" s="12"/>
      <c r="N122" s="12"/>
      <c r="O122" s="12"/>
      <c r="P122" s="10"/>
      <c r="Q122" s="12"/>
      <c r="R122" s="12"/>
      <c r="S122" s="12"/>
      <c r="T122" s="12"/>
      <c r="U122" s="12"/>
      <c r="V122" s="12"/>
    </row>
    <row r="123">
      <c r="A123" s="10"/>
      <c r="B123" s="12"/>
      <c r="C123" s="11"/>
      <c r="D123" s="11"/>
      <c r="E123" s="11"/>
      <c r="F123" s="11"/>
      <c r="G123" s="11"/>
      <c r="H123" s="11"/>
      <c r="I123" s="13"/>
      <c r="J123" s="13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</row>
    <row r="124">
      <c r="A124" s="10"/>
      <c r="B124" s="12"/>
      <c r="C124" s="11"/>
      <c r="D124" s="11"/>
      <c r="E124" s="11"/>
      <c r="F124" s="11"/>
      <c r="G124" s="11"/>
      <c r="H124" s="11"/>
      <c r="I124" s="13"/>
      <c r="J124" s="13"/>
      <c r="K124" s="12"/>
      <c r="L124" s="12"/>
      <c r="M124" s="12"/>
      <c r="N124" s="12"/>
      <c r="O124" s="12"/>
      <c r="P124" s="10"/>
      <c r="Q124" s="12"/>
      <c r="R124" s="12"/>
      <c r="S124" s="12"/>
      <c r="T124" s="12"/>
      <c r="U124" s="12"/>
      <c r="V124" s="12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</row>
    <row r="126">
      <c r="A126" s="10"/>
      <c r="B126" s="12"/>
      <c r="C126" s="12"/>
      <c r="D126" s="12"/>
      <c r="E126" s="12"/>
      <c r="F126" s="12"/>
      <c r="G126" s="12"/>
      <c r="H126" s="12"/>
      <c r="I126" s="12"/>
      <c r="J126" s="12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</row>
    <row r="128">
      <c r="A128" s="10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2"/>
      <c r="P128" s="12"/>
      <c r="Q128" s="12"/>
      <c r="R128" s="12"/>
      <c r="S128" s="12"/>
      <c r="T128" s="12"/>
      <c r="U128" s="12"/>
      <c r="V128" s="12"/>
      <c r="X128" s="1" t="s">
        <v>45</v>
      </c>
    </row>
    <row r="129">
      <c r="A129" s="10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X129" s="4" t="s">
        <v>2</v>
      </c>
      <c r="Y129" s="4" t="s">
        <v>3</v>
      </c>
      <c r="Z129" s="4" t="s">
        <v>4</v>
      </c>
      <c r="AA129" s="4" t="s">
        <v>5</v>
      </c>
      <c r="AB129" s="4" t="s">
        <v>6</v>
      </c>
      <c r="AC129" s="4" t="s">
        <v>7</v>
      </c>
      <c r="AD129" s="4" t="s">
        <v>8</v>
      </c>
      <c r="AE129" s="4" t="s">
        <v>9</v>
      </c>
      <c r="AF129" s="4" t="s">
        <v>10</v>
      </c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</row>
    <row r="130">
      <c r="A130" s="10"/>
      <c r="B130" s="12"/>
      <c r="C130" s="11"/>
      <c r="D130" s="11"/>
      <c r="E130" s="11"/>
      <c r="F130" s="11"/>
      <c r="G130" s="11"/>
      <c r="H130" s="11"/>
      <c r="I130" s="13"/>
      <c r="J130" s="13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X130" s="5" t="s">
        <v>15</v>
      </c>
      <c r="Y130" s="9">
        <f t="shared" ref="Y130:AF130" si="11">C146-C130</f>
        <v>0</v>
      </c>
      <c r="Z130" s="9">
        <f t="shared" si="11"/>
        <v>0</v>
      </c>
      <c r="AA130" s="9">
        <f t="shared" si="11"/>
        <v>0</v>
      </c>
      <c r="AB130" s="9">
        <f t="shared" si="11"/>
        <v>0</v>
      </c>
      <c r="AC130" s="9">
        <f t="shared" si="11"/>
        <v>0</v>
      </c>
      <c r="AD130" s="9">
        <f t="shared" si="11"/>
        <v>0</v>
      </c>
      <c r="AE130" s="20">
        <f t="shared" si="11"/>
        <v>0</v>
      </c>
      <c r="AF130" s="20">
        <f t="shared" si="11"/>
        <v>0</v>
      </c>
    </row>
    <row r="131">
      <c r="A131" s="10"/>
      <c r="B131" s="12"/>
      <c r="C131" s="11"/>
      <c r="D131" s="11"/>
      <c r="E131" s="11"/>
      <c r="F131" s="11"/>
      <c r="G131" s="11"/>
      <c r="H131" s="11"/>
      <c r="I131" s="13"/>
      <c r="J131" s="13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X131" s="5" t="s">
        <v>46</v>
      </c>
      <c r="Y131" s="9">
        <f t="shared" ref="Y131:AF131" si="12">C147-C131</f>
        <v>0</v>
      </c>
      <c r="Z131" s="9">
        <f t="shared" si="12"/>
        <v>0</v>
      </c>
      <c r="AA131" s="9">
        <f t="shared" si="12"/>
        <v>0</v>
      </c>
      <c r="AB131" s="9">
        <f t="shared" si="12"/>
        <v>0</v>
      </c>
      <c r="AC131" s="9">
        <f t="shared" si="12"/>
        <v>0</v>
      </c>
      <c r="AD131" s="9">
        <f t="shared" si="12"/>
        <v>0</v>
      </c>
      <c r="AE131" s="20">
        <f t="shared" si="12"/>
        <v>0</v>
      </c>
      <c r="AF131" s="20">
        <f t="shared" si="12"/>
        <v>0</v>
      </c>
    </row>
    <row r="132">
      <c r="A132" s="10"/>
      <c r="B132" s="12"/>
      <c r="C132" s="11"/>
      <c r="D132" s="11"/>
      <c r="E132" s="11"/>
      <c r="F132" s="11"/>
      <c r="G132" s="11"/>
      <c r="H132" s="11"/>
      <c r="I132" s="13"/>
      <c r="J132" s="13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X132" s="5" t="s">
        <v>16</v>
      </c>
      <c r="Y132" s="9">
        <f t="shared" ref="Y132:AF132" si="13">C148-C132</f>
        <v>0</v>
      </c>
      <c r="Z132" s="9">
        <f t="shared" si="13"/>
        <v>0</v>
      </c>
      <c r="AA132" s="9">
        <f t="shared" si="13"/>
        <v>0</v>
      </c>
      <c r="AB132" s="9">
        <f t="shared" si="13"/>
        <v>0</v>
      </c>
      <c r="AC132" s="9">
        <f t="shared" si="13"/>
        <v>0</v>
      </c>
      <c r="AD132" s="9">
        <f t="shared" si="13"/>
        <v>0</v>
      </c>
      <c r="AE132" s="20">
        <f t="shared" si="13"/>
        <v>0</v>
      </c>
      <c r="AF132" s="20">
        <f t="shared" si="13"/>
        <v>0</v>
      </c>
    </row>
    <row r="133">
      <c r="A133" s="10"/>
      <c r="B133" s="12"/>
      <c r="C133" s="11"/>
      <c r="D133" s="11"/>
      <c r="E133" s="11"/>
      <c r="F133" s="11"/>
      <c r="G133" s="11"/>
      <c r="H133" s="11"/>
      <c r="I133" s="13"/>
      <c r="J133" s="13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X133" s="5" t="s">
        <v>47</v>
      </c>
      <c r="Y133" s="9">
        <f t="shared" ref="Y133:AF133" si="14">C149-C133</f>
        <v>0</v>
      </c>
      <c r="Z133" s="9">
        <f t="shared" si="14"/>
        <v>0</v>
      </c>
      <c r="AA133" s="9">
        <f t="shared" si="14"/>
        <v>0</v>
      </c>
      <c r="AB133" s="9">
        <f t="shared" si="14"/>
        <v>0</v>
      </c>
      <c r="AC133" s="9">
        <f t="shared" si="14"/>
        <v>0</v>
      </c>
      <c r="AD133" s="9">
        <f t="shared" si="14"/>
        <v>0</v>
      </c>
      <c r="AE133" s="20">
        <f t="shared" si="14"/>
        <v>0</v>
      </c>
      <c r="AF133" s="20">
        <f t="shared" si="14"/>
        <v>0</v>
      </c>
    </row>
    <row r="134">
      <c r="A134" s="10"/>
      <c r="B134" s="12"/>
      <c r="C134" s="11"/>
      <c r="D134" s="11"/>
      <c r="E134" s="11"/>
      <c r="F134" s="11"/>
      <c r="G134" s="11"/>
      <c r="H134" s="11"/>
      <c r="I134" s="13"/>
      <c r="J134" s="13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X134" s="5" t="s">
        <v>48</v>
      </c>
      <c r="Y134" s="9">
        <f t="shared" ref="Y134:AF134" si="15">C150-C134</f>
        <v>0</v>
      </c>
      <c r="Z134" s="9">
        <f t="shared" si="15"/>
        <v>0</v>
      </c>
      <c r="AA134" s="9">
        <f t="shared" si="15"/>
        <v>0</v>
      </c>
      <c r="AB134" s="9">
        <f t="shared" si="15"/>
        <v>0</v>
      </c>
      <c r="AC134" s="9">
        <f t="shared" si="15"/>
        <v>0</v>
      </c>
      <c r="AD134" s="9">
        <f t="shared" si="15"/>
        <v>0</v>
      </c>
      <c r="AE134" s="20">
        <f t="shared" si="15"/>
        <v>0</v>
      </c>
      <c r="AF134" s="20">
        <f t="shared" si="15"/>
        <v>0</v>
      </c>
    </row>
    <row r="135">
      <c r="A135" s="10"/>
      <c r="B135" s="12"/>
      <c r="C135" s="11"/>
      <c r="D135" s="11"/>
      <c r="E135" s="11"/>
      <c r="F135" s="11"/>
      <c r="G135" s="11"/>
      <c r="H135" s="11"/>
      <c r="I135" s="13"/>
      <c r="J135" s="13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X135" s="5" t="s">
        <v>49</v>
      </c>
      <c r="Y135" s="9">
        <f t="shared" ref="Y135:AF135" si="16">C151-C135</f>
        <v>0</v>
      </c>
      <c r="Z135" s="9">
        <f t="shared" si="16"/>
        <v>0</v>
      </c>
      <c r="AA135" s="9">
        <f t="shared" si="16"/>
        <v>0</v>
      </c>
      <c r="AB135" s="9">
        <f t="shared" si="16"/>
        <v>0</v>
      </c>
      <c r="AC135" s="9">
        <f t="shared" si="16"/>
        <v>0</v>
      </c>
      <c r="AD135" s="9">
        <f t="shared" si="16"/>
        <v>0</v>
      </c>
      <c r="AE135" s="20">
        <f t="shared" si="16"/>
        <v>0</v>
      </c>
      <c r="AF135" s="20">
        <f t="shared" si="16"/>
        <v>0</v>
      </c>
    </row>
    <row r="136">
      <c r="A136" s="10"/>
      <c r="B136" s="12"/>
      <c r="C136" s="11"/>
      <c r="D136" s="11"/>
      <c r="E136" s="11"/>
      <c r="F136" s="11"/>
      <c r="G136" s="11"/>
      <c r="H136" s="11"/>
      <c r="I136" s="13"/>
      <c r="J136" s="13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X136" s="5" t="s">
        <v>17</v>
      </c>
      <c r="Y136" s="9">
        <f t="shared" ref="Y136:AF136" si="17">C152-C136</f>
        <v>0</v>
      </c>
      <c r="Z136" s="9">
        <f t="shared" si="17"/>
        <v>0</v>
      </c>
      <c r="AA136" s="9">
        <f t="shared" si="17"/>
        <v>0</v>
      </c>
      <c r="AB136" s="9">
        <f t="shared" si="17"/>
        <v>0</v>
      </c>
      <c r="AC136" s="9">
        <f t="shared" si="17"/>
        <v>0</v>
      </c>
      <c r="AD136" s="9">
        <f t="shared" si="17"/>
        <v>0</v>
      </c>
      <c r="AE136" s="20">
        <f t="shared" si="17"/>
        <v>0</v>
      </c>
      <c r="AF136" s="20">
        <f t="shared" si="17"/>
        <v>0</v>
      </c>
    </row>
    <row r="137">
      <c r="A137" s="10"/>
      <c r="B137" s="12"/>
      <c r="C137" s="11"/>
      <c r="D137" s="11"/>
      <c r="E137" s="11"/>
      <c r="F137" s="11"/>
      <c r="G137" s="11"/>
      <c r="H137" s="11"/>
      <c r="I137" s="13"/>
      <c r="J137" s="13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X137" s="5" t="s">
        <v>18</v>
      </c>
      <c r="Y137" s="9">
        <f t="shared" ref="Y137:AF137" si="18">C153-C137</f>
        <v>0</v>
      </c>
      <c r="Z137" s="9">
        <f t="shared" si="18"/>
        <v>0</v>
      </c>
      <c r="AA137" s="9">
        <f t="shared" si="18"/>
        <v>0</v>
      </c>
      <c r="AB137" s="9">
        <f t="shared" si="18"/>
        <v>0</v>
      </c>
      <c r="AC137" s="9">
        <f t="shared" si="18"/>
        <v>0</v>
      </c>
      <c r="AD137" s="9">
        <f t="shared" si="18"/>
        <v>0</v>
      </c>
      <c r="AE137" s="20">
        <f t="shared" si="18"/>
        <v>0</v>
      </c>
      <c r="AF137" s="20">
        <f t="shared" si="18"/>
        <v>0</v>
      </c>
    </row>
    <row r="138">
      <c r="A138" s="10"/>
      <c r="B138" s="12"/>
      <c r="C138" s="11"/>
      <c r="D138" s="11"/>
      <c r="E138" s="11"/>
      <c r="F138" s="11"/>
      <c r="G138" s="11"/>
      <c r="H138" s="11"/>
      <c r="I138" s="13"/>
      <c r="J138" s="13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X138" s="5" t="s">
        <v>19</v>
      </c>
      <c r="Y138" s="9">
        <f t="shared" ref="Y138:AF138" si="19">C154-C138</f>
        <v>0</v>
      </c>
      <c r="Z138" s="9">
        <f t="shared" si="19"/>
        <v>0</v>
      </c>
      <c r="AA138" s="9">
        <f t="shared" si="19"/>
        <v>0</v>
      </c>
      <c r="AB138" s="9">
        <f t="shared" si="19"/>
        <v>0</v>
      </c>
      <c r="AC138" s="9">
        <f t="shared" si="19"/>
        <v>0</v>
      </c>
      <c r="AD138" s="9">
        <f t="shared" si="19"/>
        <v>0</v>
      </c>
      <c r="AE138" s="20">
        <f t="shared" si="19"/>
        <v>0</v>
      </c>
      <c r="AF138" s="20">
        <f t="shared" si="19"/>
        <v>0</v>
      </c>
    </row>
    <row r="139">
      <c r="A139" s="10"/>
      <c r="B139" s="12"/>
      <c r="C139" s="11"/>
      <c r="D139" s="11"/>
      <c r="E139" s="11"/>
      <c r="F139" s="11"/>
      <c r="G139" s="11"/>
      <c r="H139" s="11"/>
      <c r="I139" s="13"/>
      <c r="J139" s="13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X139" s="5" t="s">
        <v>20</v>
      </c>
      <c r="Y139" s="9">
        <f t="shared" ref="Y139:AF139" si="20">C155-C139</f>
        <v>0</v>
      </c>
      <c r="Z139" s="9">
        <f t="shared" si="20"/>
        <v>0</v>
      </c>
      <c r="AA139" s="9">
        <f t="shared" si="20"/>
        <v>0</v>
      </c>
      <c r="AB139" s="9">
        <f t="shared" si="20"/>
        <v>0</v>
      </c>
      <c r="AC139" s="9">
        <f t="shared" si="20"/>
        <v>0</v>
      </c>
      <c r="AD139" s="9">
        <f t="shared" si="20"/>
        <v>0</v>
      </c>
      <c r="AE139" s="20">
        <f t="shared" si="20"/>
        <v>0</v>
      </c>
      <c r="AF139" s="20">
        <f t="shared" si="20"/>
        <v>0</v>
      </c>
    </row>
    <row r="140">
      <c r="A140" s="10"/>
      <c r="B140" s="12"/>
      <c r="C140" s="11"/>
      <c r="D140" s="11"/>
      <c r="E140" s="11"/>
      <c r="F140" s="11"/>
      <c r="G140" s="11"/>
      <c r="H140" s="11"/>
      <c r="I140" s="13"/>
      <c r="J140" s="13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X140" s="5" t="s">
        <v>21</v>
      </c>
      <c r="Y140" s="9">
        <f t="shared" ref="Y140:AF140" si="21">C156-C140</f>
        <v>0</v>
      </c>
      <c r="Z140" s="9">
        <f t="shared" si="21"/>
        <v>0</v>
      </c>
      <c r="AA140" s="9">
        <f t="shared" si="21"/>
        <v>0</v>
      </c>
      <c r="AB140" s="9">
        <f t="shared" si="21"/>
        <v>0</v>
      </c>
      <c r="AC140" s="9">
        <f t="shared" si="21"/>
        <v>0</v>
      </c>
      <c r="AD140" s="9">
        <f t="shared" si="21"/>
        <v>0</v>
      </c>
      <c r="AE140" s="20">
        <f t="shared" si="21"/>
        <v>0</v>
      </c>
      <c r="AF140" s="20">
        <f t="shared" si="21"/>
        <v>0</v>
      </c>
    </row>
    <row r="141">
      <c r="A141" s="10"/>
      <c r="B141" s="12"/>
      <c r="C141" s="11"/>
      <c r="D141" s="11"/>
      <c r="E141" s="11"/>
      <c r="F141" s="11"/>
      <c r="G141" s="11"/>
      <c r="H141" s="11"/>
      <c r="I141" s="13"/>
      <c r="J141" s="13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X141" s="5" t="s">
        <v>50</v>
      </c>
      <c r="Y141" s="9">
        <f t="shared" ref="Y141:AF141" si="22">C157-C141</f>
        <v>0</v>
      </c>
      <c r="Z141" s="9">
        <f t="shared" si="22"/>
        <v>0</v>
      </c>
      <c r="AA141" s="9">
        <f t="shared" si="22"/>
        <v>0</v>
      </c>
      <c r="AB141" s="9">
        <f t="shared" si="22"/>
        <v>0</v>
      </c>
      <c r="AC141" s="9">
        <f t="shared" si="22"/>
        <v>0</v>
      </c>
      <c r="AD141" s="9">
        <f t="shared" si="22"/>
        <v>0</v>
      </c>
      <c r="AE141" s="20">
        <f t="shared" si="22"/>
        <v>0</v>
      </c>
      <c r="AF141" s="20">
        <f t="shared" si="22"/>
        <v>0</v>
      </c>
    </row>
    <row r="142">
      <c r="A142" s="10"/>
      <c r="B142" s="12"/>
      <c r="C142" s="11"/>
      <c r="D142" s="11"/>
      <c r="E142" s="11"/>
      <c r="F142" s="11"/>
      <c r="G142" s="11"/>
      <c r="H142" s="11"/>
      <c r="I142" s="13"/>
      <c r="J142" s="13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X142" s="5" t="s">
        <v>22</v>
      </c>
      <c r="Y142" s="9">
        <f t="shared" ref="Y142:AF142" si="23">MEDIAN(Y130:Y141)</f>
        <v>0</v>
      </c>
      <c r="Z142" s="9">
        <f t="shared" si="23"/>
        <v>0</v>
      </c>
      <c r="AA142" s="9">
        <f t="shared" si="23"/>
        <v>0</v>
      </c>
      <c r="AB142" s="9">
        <f t="shared" si="23"/>
        <v>0</v>
      </c>
      <c r="AC142" s="9">
        <f t="shared" si="23"/>
        <v>0</v>
      </c>
      <c r="AD142" s="9">
        <f t="shared" si="23"/>
        <v>0</v>
      </c>
      <c r="AE142" s="20">
        <f t="shared" si="23"/>
        <v>0</v>
      </c>
      <c r="AF142" s="20">
        <f t="shared" si="23"/>
        <v>0</v>
      </c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</row>
    <row r="144">
      <c r="A144" s="10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2"/>
      <c r="P144" s="12"/>
      <c r="Q144" s="12"/>
      <c r="R144" s="12"/>
      <c r="S144" s="12"/>
      <c r="T144" s="12"/>
      <c r="U144" s="12"/>
      <c r="V144" s="12"/>
    </row>
    <row r="145">
      <c r="A145" s="10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</row>
    <row r="146">
      <c r="A146" s="10"/>
      <c r="B146" s="12"/>
      <c r="C146" s="11"/>
      <c r="D146" s="11"/>
      <c r="E146" s="11"/>
      <c r="F146" s="11"/>
      <c r="G146" s="11"/>
      <c r="H146" s="11"/>
      <c r="I146" s="13"/>
      <c r="J146" s="13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</row>
    <row r="147">
      <c r="A147" s="10"/>
      <c r="B147" s="12"/>
      <c r="C147" s="11"/>
      <c r="D147" s="11"/>
      <c r="E147" s="11"/>
      <c r="F147" s="11"/>
      <c r="G147" s="11"/>
      <c r="H147" s="11"/>
      <c r="I147" s="13"/>
      <c r="J147" s="13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</row>
    <row r="148">
      <c r="A148" s="10"/>
      <c r="B148" s="12"/>
      <c r="C148" s="11"/>
      <c r="D148" s="11"/>
      <c r="E148" s="11"/>
      <c r="F148" s="11"/>
      <c r="G148" s="11"/>
      <c r="H148" s="11"/>
      <c r="I148" s="13"/>
      <c r="J148" s="13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</row>
    <row r="149">
      <c r="A149" s="10"/>
      <c r="B149" s="12"/>
      <c r="C149" s="11"/>
      <c r="D149" s="11"/>
      <c r="E149" s="11"/>
      <c r="F149" s="11"/>
      <c r="G149" s="11"/>
      <c r="H149" s="11"/>
      <c r="I149" s="13"/>
      <c r="J149" s="13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</row>
    <row r="150">
      <c r="A150" s="10"/>
      <c r="B150" s="12"/>
      <c r="C150" s="11"/>
      <c r="D150" s="11"/>
      <c r="E150" s="11"/>
      <c r="F150" s="11"/>
      <c r="G150" s="11"/>
      <c r="H150" s="11"/>
      <c r="I150" s="13"/>
      <c r="J150" s="13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</row>
    <row r="151">
      <c r="A151" s="10"/>
      <c r="B151" s="12"/>
      <c r="C151" s="11"/>
      <c r="D151" s="11"/>
      <c r="E151" s="11"/>
      <c r="F151" s="11"/>
      <c r="G151" s="11"/>
      <c r="H151" s="11"/>
      <c r="I151" s="13"/>
      <c r="J151" s="13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</row>
    <row r="152">
      <c r="A152" s="10"/>
      <c r="B152" s="12"/>
      <c r="C152" s="11"/>
      <c r="D152" s="11"/>
      <c r="E152" s="11"/>
      <c r="F152" s="11"/>
      <c r="G152" s="11"/>
      <c r="H152" s="11"/>
      <c r="I152" s="13"/>
      <c r="J152" s="13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</row>
    <row r="153">
      <c r="A153" s="10"/>
      <c r="B153" s="12"/>
      <c r="C153" s="11"/>
      <c r="D153" s="11"/>
      <c r="E153" s="11"/>
      <c r="F153" s="11"/>
      <c r="G153" s="11"/>
      <c r="H153" s="11"/>
      <c r="I153" s="13"/>
      <c r="J153" s="13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</row>
    <row r="154">
      <c r="A154" s="10"/>
      <c r="B154" s="12"/>
      <c r="C154" s="11"/>
      <c r="D154" s="11"/>
      <c r="E154" s="11"/>
      <c r="F154" s="11"/>
      <c r="G154" s="11"/>
      <c r="H154" s="11"/>
      <c r="I154" s="13"/>
      <c r="J154" s="13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</row>
    <row r="155">
      <c r="A155" s="10"/>
      <c r="B155" s="12"/>
      <c r="C155" s="11"/>
      <c r="D155" s="11"/>
      <c r="E155" s="11"/>
      <c r="F155" s="11"/>
      <c r="G155" s="11"/>
      <c r="H155" s="11"/>
      <c r="I155" s="13"/>
      <c r="J155" s="13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</row>
    <row r="156">
      <c r="A156" s="10"/>
      <c r="B156" s="12"/>
      <c r="C156" s="11"/>
      <c r="D156" s="11"/>
      <c r="E156" s="11"/>
      <c r="F156" s="11"/>
      <c r="G156" s="11"/>
      <c r="H156" s="11"/>
      <c r="I156" s="13"/>
      <c r="J156" s="13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</row>
    <row r="157">
      <c r="A157" s="10"/>
      <c r="B157" s="12"/>
      <c r="C157" s="11"/>
      <c r="D157" s="11"/>
      <c r="E157" s="11"/>
      <c r="F157" s="11"/>
      <c r="G157" s="11"/>
      <c r="H157" s="11"/>
      <c r="I157" s="13"/>
      <c r="J157" s="13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</row>
    <row r="158">
      <c r="A158" s="10"/>
      <c r="B158" s="12"/>
      <c r="C158" s="11"/>
      <c r="D158" s="11"/>
      <c r="E158" s="11"/>
      <c r="F158" s="11"/>
      <c r="G158" s="11"/>
      <c r="H158" s="11"/>
      <c r="I158" s="13"/>
      <c r="J158" s="13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</row>
    <row r="162">
      <c r="X162" s="1" t="s">
        <v>51</v>
      </c>
      <c r="AK162" s="2" t="s">
        <v>1</v>
      </c>
    </row>
    <row r="163">
      <c r="X163" s="4" t="s">
        <v>2</v>
      </c>
      <c r="Y163" s="4" t="s">
        <v>3</v>
      </c>
      <c r="Z163" s="4" t="s">
        <v>4</v>
      </c>
      <c r="AA163" s="4" t="s">
        <v>5</v>
      </c>
      <c r="AB163" s="4" t="s">
        <v>6</v>
      </c>
      <c r="AC163" s="4" t="s">
        <v>7</v>
      </c>
      <c r="AD163" s="4" t="s">
        <v>8</v>
      </c>
      <c r="AE163" s="4" t="s">
        <v>9</v>
      </c>
      <c r="AF163" s="4" t="s">
        <v>10</v>
      </c>
      <c r="AG163" s="4" t="s">
        <v>11</v>
      </c>
      <c r="AH163" s="4" t="s">
        <v>12</v>
      </c>
      <c r="AI163" s="4" t="s">
        <v>13</v>
      </c>
      <c r="AJ163" s="4" t="s">
        <v>14</v>
      </c>
      <c r="AK163" s="4" t="s">
        <v>3</v>
      </c>
      <c r="AL163" s="4" t="s">
        <v>4</v>
      </c>
      <c r="AM163" s="4" t="s">
        <v>5</v>
      </c>
      <c r="AN163" s="4" t="s">
        <v>6</v>
      </c>
      <c r="AO163" s="4" t="s">
        <v>7</v>
      </c>
      <c r="AP163" s="4" t="s">
        <v>8</v>
      </c>
      <c r="AQ163" s="4" t="s">
        <v>9</v>
      </c>
      <c r="AR163" s="4" t="s">
        <v>10</v>
      </c>
    </row>
    <row r="164">
      <c r="X164" s="5" t="s">
        <v>15</v>
      </c>
      <c r="Y164" s="6">
        <v>0.933</v>
      </c>
      <c r="Z164" s="6">
        <v>0.960378457431043</v>
      </c>
      <c r="AA164" s="6">
        <v>0.953079409862996</v>
      </c>
      <c r="AB164" s="6">
        <v>0.918039042755288</v>
      </c>
      <c r="AC164" s="6">
        <v>0.915167568919371</v>
      </c>
      <c r="AD164" s="6">
        <v>0.916190548937902</v>
      </c>
      <c r="AE164" s="7">
        <v>3.4</v>
      </c>
      <c r="AF164" s="7">
        <v>3.3</v>
      </c>
      <c r="AG164" s="8">
        <v>145.8</v>
      </c>
      <c r="AH164" s="8">
        <v>54.2</v>
      </c>
      <c r="AI164" s="8">
        <v>384.2</v>
      </c>
      <c r="AJ164" s="8">
        <v>135.8</v>
      </c>
      <c r="AK164" s="8">
        <v>0.0265706605111728</v>
      </c>
      <c r="AL164" s="8">
        <v>0.0172871428810181</v>
      </c>
      <c r="AM164" s="8">
        <v>0.0164068123763975</v>
      </c>
      <c r="AN164" s="8">
        <v>0.0277603291543915</v>
      </c>
      <c r="AO164" s="8">
        <v>0.0284958869202811</v>
      </c>
      <c r="AP164" s="8">
        <v>0.0269092864699769</v>
      </c>
      <c r="AQ164" s="8">
        <v>1.31909059582729</v>
      </c>
      <c r="AR164" s="8">
        <v>1.69115345252877</v>
      </c>
    </row>
    <row r="165">
      <c r="X165" s="5" t="s">
        <v>16</v>
      </c>
      <c r="Y165" s="6">
        <v>0.743658477669713</v>
      </c>
      <c r="Z165" s="6">
        <v>0.807061147950475</v>
      </c>
      <c r="AA165" s="6">
        <v>0.764684698212956</v>
      </c>
      <c r="AB165" s="6">
        <v>0.709193379581859</v>
      </c>
      <c r="AC165" s="6">
        <v>0.686719601523281</v>
      </c>
      <c r="AD165" s="6">
        <v>0.690791869740736</v>
      </c>
      <c r="AE165" s="7">
        <v>10.2693725801709</v>
      </c>
      <c r="AF165" s="7">
        <v>15.3647796528576</v>
      </c>
      <c r="AG165" s="8">
        <v>60.4</v>
      </c>
      <c r="AH165" s="8">
        <v>128.4</v>
      </c>
      <c r="AI165" s="8">
        <v>172.6</v>
      </c>
      <c r="AJ165" s="8">
        <v>317.8</v>
      </c>
      <c r="AK165" s="8">
        <v>0.00402011615397188</v>
      </c>
      <c r="AL165" s="8">
        <v>0.00999570395640687</v>
      </c>
      <c r="AM165" s="8">
        <v>0.0199372888657022</v>
      </c>
      <c r="AN165" s="8">
        <v>0.0252875958512724</v>
      </c>
      <c r="AO165" s="8">
        <v>0.0150168280835016</v>
      </c>
      <c r="AP165" s="8">
        <v>0.0115909079646394</v>
      </c>
      <c r="AQ165" s="8">
        <v>3.19235760594439</v>
      </c>
      <c r="AR165" s="8">
        <v>3.08089213544536</v>
      </c>
    </row>
    <row r="166">
      <c r="X166" s="5" t="s">
        <v>17</v>
      </c>
      <c r="Y166" s="6">
        <v>0.877</v>
      </c>
      <c r="Z166" s="6">
        <v>0.944704797365997</v>
      </c>
      <c r="AA166" s="6">
        <v>0.937538620443924</v>
      </c>
      <c r="AB166" s="6">
        <v>0.873043682178256</v>
      </c>
      <c r="AC166" s="6">
        <v>0.877778724867885</v>
      </c>
      <c r="AD166" s="6">
        <v>0.87334292777428</v>
      </c>
      <c r="AE166" s="7">
        <v>7.1</v>
      </c>
      <c r="AF166" s="7">
        <v>5.2</v>
      </c>
      <c r="AG166" s="8">
        <v>83.4</v>
      </c>
      <c r="AH166" s="8">
        <v>116.6</v>
      </c>
      <c r="AI166" s="8">
        <v>236.8</v>
      </c>
      <c r="AJ166" s="8">
        <v>283.2</v>
      </c>
      <c r="AK166" s="8">
        <v>0.0208806130178211</v>
      </c>
      <c r="AL166" s="8">
        <v>0.00830655087675257</v>
      </c>
      <c r="AM166" s="8">
        <v>0.0129869826813398</v>
      </c>
      <c r="AN166" s="8">
        <v>0.0241839962465406</v>
      </c>
      <c r="AO166" s="8">
        <v>0.0240665490648148</v>
      </c>
      <c r="AP166" s="8">
        <v>0.0235043284123731</v>
      </c>
      <c r="AQ166" s="8">
        <v>1.93390796058137</v>
      </c>
      <c r="AR166" s="8">
        <v>2.7129319932501</v>
      </c>
    </row>
    <row r="167">
      <c r="X167" s="5" t="s">
        <v>18</v>
      </c>
      <c r="Y167" s="6">
        <v>0.93</v>
      </c>
      <c r="Z167" s="6">
        <v>0.952620792487507</v>
      </c>
      <c r="AA167" s="6">
        <v>0.929975398483454</v>
      </c>
      <c r="AB167" s="6">
        <v>0.90836466768316</v>
      </c>
      <c r="AC167" s="6">
        <v>0.920411188707217</v>
      </c>
      <c r="AD167" s="6">
        <v>0.913585266057778</v>
      </c>
      <c r="AE167" s="7">
        <v>2.8</v>
      </c>
      <c r="AF167" s="7">
        <v>4.2</v>
      </c>
      <c r="AG167" s="8">
        <v>145.2</v>
      </c>
      <c r="AH167" s="8">
        <v>54.8</v>
      </c>
      <c r="AI167" s="8">
        <v>385.0</v>
      </c>
      <c r="AJ167" s="8">
        <v>135.0</v>
      </c>
      <c r="AK167" s="8">
        <v>0.0199999999999999</v>
      </c>
      <c r="AL167" s="8">
        <v>0.0289509116112335</v>
      </c>
      <c r="AM167" s="8">
        <v>0.0440885182702816</v>
      </c>
      <c r="AN167" s="8">
        <v>0.0205981251781025</v>
      </c>
      <c r="AO167" s="8">
        <v>0.0277629549393028</v>
      </c>
      <c r="AP167" s="8">
        <v>0.0230389357584805</v>
      </c>
      <c r="AQ167" s="8">
        <v>1.4696938456699</v>
      </c>
      <c r="AR167" s="8">
        <v>1.16619037896906</v>
      </c>
    </row>
    <row r="168">
      <c r="X168" s="5" t="s">
        <v>19</v>
      </c>
      <c r="Y168" s="6">
        <v>0.913</v>
      </c>
      <c r="Z168" s="6">
        <v>0.959605760759614</v>
      </c>
      <c r="AA168" s="6">
        <v>0.900250973656296</v>
      </c>
      <c r="AB168" s="6">
        <v>0.848036725518714</v>
      </c>
      <c r="AC168" s="6">
        <v>0.889066078866692</v>
      </c>
      <c r="AD168" s="6">
        <v>0.864833706157542</v>
      </c>
      <c r="AE168" s="7">
        <v>5.9</v>
      </c>
      <c r="AF168" s="7">
        <v>2.8</v>
      </c>
      <c r="AG168" s="8">
        <v>37.8</v>
      </c>
      <c r="AH168" s="8">
        <v>162.2</v>
      </c>
      <c r="AI168" s="8">
        <v>109.4</v>
      </c>
      <c r="AJ168" s="8">
        <v>410.6</v>
      </c>
      <c r="AK168" s="8">
        <v>0.0136381816969858</v>
      </c>
      <c r="AL168" s="8">
        <v>0.0113434737932087</v>
      </c>
      <c r="AM168" s="8">
        <v>0.022829362200569</v>
      </c>
      <c r="AN168" s="8">
        <v>0.0189974523254136</v>
      </c>
      <c r="AO168" s="8">
        <v>0.0430221060227684</v>
      </c>
      <c r="AP168" s="8">
        <v>0.026775204059989</v>
      </c>
      <c r="AQ168" s="8">
        <v>0.860232526704263</v>
      </c>
      <c r="AR168" s="8">
        <v>1.69115345252877</v>
      </c>
    </row>
    <row r="169">
      <c r="X169" s="5" t="s">
        <v>20</v>
      </c>
      <c r="Y169" s="6">
        <v>0.855</v>
      </c>
      <c r="Z169" s="6">
        <v>0.841998753285777</v>
      </c>
      <c r="AA169" s="6">
        <v>0.71015170190941</v>
      </c>
      <c r="AB169" s="6">
        <v>0.692510521780509</v>
      </c>
      <c r="AC169" s="6">
        <v>0.643634334706615</v>
      </c>
      <c r="AD169" s="6">
        <v>0.650733235668279</v>
      </c>
      <c r="AE169" s="7">
        <v>5.7</v>
      </c>
      <c r="AF169" s="7">
        <v>8.8</v>
      </c>
      <c r="AG169" s="8">
        <v>26.8</v>
      </c>
      <c r="AH169" s="8">
        <v>173.2</v>
      </c>
      <c r="AI169" s="8">
        <v>86.2</v>
      </c>
      <c r="AJ169" s="8">
        <v>433.8</v>
      </c>
      <c r="AK169" s="8">
        <v>0.0104880884817015</v>
      </c>
      <c r="AL169" s="8">
        <v>0.0347841352746396</v>
      </c>
      <c r="AM169" s="8">
        <v>0.0298349426062312</v>
      </c>
      <c r="AN169" s="8">
        <v>0.0445410020548363</v>
      </c>
      <c r="AO169" s="8">
        <v>0.0374474045500547</v>
      </c>
      <c r="AP169" s="8">
        <v>0.0172511243039383</v>
      </c>
      <c r="AQ169" s="8">
        <v>2.7676705006196</v>
      </c>
      <c r="AR169" s="8">
        <v>2.227105745132</v>
      </c>
    </row>
    <row r="170">
      <c r="X170" s="5" t="s">
        <v>21</v>
      </c>
      <c r="Y170" s="6">
        <v>0.912999999999999</v>
      </c>
      <c r="Z170" s="6">
        <v>0.941650584729677</v>
      </c>
      <c r="AA170" s="6">
        <v>0.922401575011793</v>
      </c>
      <c r="AB170" s="6">
        <v>0.897352685667445</v>
      </c>
      <c r="AC170" s="6">
        <v>0.902961782612481</v>
      </c>
      <c r="AD170" s="6">
        <v>0.899389708472858</v>
      </c>
      <c r="AE170" s="7">
        <v>4.9</v>
      </c>
      <c r="AF170" s="7">
        <v>3.8</v>
      </c>
      <c r="AG170" s="8">
        <v>64.8</v>
      </c>
      <c r="AH170" s="8">
        <v>135.2</v>
      </c>
      <c r="AI170" s="8">
        <v>177.8</v>
      </c>
      <c r="AJ170" s="8">
        <v>342.2</v>
      </c>
      <c r="AK170" s="8">
        <v>0.0233666428910958</v>
      </c>
      <c r="AL170" s="8">
        <v>0.0269973080020337</v>
      </c>
      <c r="AM170" s="8">
        <v>0.0367240068815128</v>
      </c>
      <c r="AN170" s="8">
        <v>0.0325399919869662</v>
      </c>
      <c r="AO170" s="8">
        <v>0.0309272779394488</v>
      </c>
      <c r="AP170" s="8">
        <v>0.0311682940823609</v>
      </c>
      <c r="AQ170" s="8">
        <v>1.65529453572468</v>
      </c>
      <c r="AR170" s="8">
        <v>1.56843871413581</v>
      </c>
    </row>
    <row r="171">
      <c r="X171" s="5" t="s">
        <v>22</v>
      </c>
      <c r="Y171" s="6">
        <f t="shared" ref="Y171:AF171" si="24">MEDIAN(Y164:Y170)</f>
        <v>0.913</v>
      </c>
      <c r="Z171" s="6">
        <f t="shared" si="24"/>
        <v>0.9447047974</v>
      </c>
      <c r="AA171" s="6">
        <f t="shared" si="24"/>
        <v>0.922401575</v>
      </c>
      <c r="AB171" s="6">
        <f t="shared" si="24"/>
        <v>0.8730436822</v>
      </c>
      <c r="AC171" s="6">
        <f t="shared" si="24"/>
        <v>0.8890660789</v>
      </c>
      <c r="AD171" s="6">
        <f t="shared" si="24"/>
        <v>0.8733429278</v>
      </c>
      <c r="AE171" s="7">
        <f t="shared" si="24"/>
        <v>5.7</v>
      </c>
      <c r="AF171" s="7">
        <f t="shared" si="24"/>
        <v>4.2</v>
      </c>
      <c r="AK171" s="21">
        <f t="shared" ref="AK171:AP171" si="25">MEDIAN(AK164:AK170)</f>
        <v>0.02</v>
      </c>
      <c r="AL171" s="9">
        <f t="shared" si="25"/>
        <v>0.01728714288</v>
      </c>
      <c r="AM171" s="9">
        <f t="shared" si="25"/>
        <v>0.0228293622</v>
      </c>
      <c r="AN171" s="9">
        <f t="shared" si="25"/>
        <v>0.02528759585</v>
      </c>
      <c r="AO171" s="9">
        <f t="shared" si="25"/>
        <v>0.02849588692</v>
      </c>
      <c r="AP171" s="9">
        <f t="shared" si="25"/>
        <v>0.02350432841</v>
      </c>
    </row>
    <row r="182"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</row>
    <row r="183"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</row>
    <row r="184"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</row>
    <row r="185"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</row>
    <row r="186"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</row>
    <row r="187"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</row>
    <row r="188"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</row>
    <row r="189"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</row>
    <row r="190"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</row>
    <row r="191"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</row>
    <row r="192">
      <c r="A192" s="12"/>
      <c r="B192" s="11"/>
      <c r="C192" s="11"/>
      <c r="D192" s="11"/>
      <c r="E192" s="11"/>
      <c r="F192" s="11"/>
      <c r="G192" s="11"/>
      <c r="H192" s="13"/>
      <c r="I192" s="13"/>
      <c r="J192" s="12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</row>
    <row r="193">
      <c r="A193" s="12"/>
      <c r="B193" s="11"/>
      <c r="C193" s="11"/>
      <c r="D193" s="11"/>
      <c r="E193" s="11"/>
      <c r="F193" s="11"/>
      <c r="G193" s="11"/>
      <c r="H193" s="13"/>
      <c r="I193" s="13"/>
      <c r="J193" s="12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</row>
    <row r="194">
      <c r="A194" s="12"/>
      <c r="B194" s="11"/>
      <c r="C194" s="11"/>
      <c r="D194" s="11"/>
      <c r="E194" s="11"/>
      <c r="F194" s="11"/>
      <c r="G194" s="11"/>
      <c r="H194" s="13"/>
      <c r="I194" s="13"/>
      <c r="J194" s="12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</row>
    <row r="195">
      <c r="A195" s="12"/>
      <c r="B195" s="11"/>
      <c r="C195" s="11"/>
      <c r="D195" s="11"/>
      <c r="E195" s="11"/>
      <c r="F195" s="11"/>
      <c r="G195" s="11"/>
      <c r="H195" s="13"/>
      <c r="I195" s="13"/>
      <c r="J195" s="12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</row>
    <row r="196">
      <c r="A196" s="12"/>
      <c r="B196" s="11"/>
      <c r="C196" s="11"/>
      <c r="D196" s="11"/>
      <c r="E196" s="11"/>
      <c r="F196" s="11"/>
      <c r="G196" s="11"/>
      <c r="H196" s="13"/>
      <c r="I196" s="13"/>
      <c r="J196" s="12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</row>
    <row r="197">
      <c r="A197" s="12"/>
      <c r="B197" s="11"/>
      <c r="C197" s="11"/>
      <c r="D197" s="11"/>
      <c r="E197" s="11"/>
      <c r="F197" s="11"/>
      <c r="G197" s="11"/>
      <c r="H197" s="13"/>
      <c r="I197" s="13"/>
      <c r="J197" s="12"/>
    </row>
    <row r="198">
      <c r="A198" s="12"/>
      <c r="B198" s="11"/>
      <c r="C198" s="11"/>
      <c r="D198" s="11"/>
      <c r="E198" s="11"/>
      <c r="F198" s="11"/>
      <c r="G198" s="11"/>
      <c r="H198" s="13"/>
      <c r="I198" s="13"/>
      <c r="J198" s="12"/>
    </row>
    <row r="199">
      <c r="A199" s="12"/>
      <c r="B199" s="11"/>
      <c r="C199" s="11"/>
      <c r="D199" s="11"/>
      <c r="E199" s="11"/>
      <c r="F199" s="11"/>
      <c r="G199" s="11"/>
      <c r="H199" s="13"/>
      <c r="I199" s="13"/>
      <c r="J199" s="12"/>
    </row>
    <row r="200">
      <c r="A200" s="12"/>
      <c r="B200" s="11"/>
      <c r="C200" s="11"/>
      <c r="D200" s="11"/>
      <c r="E200" s="11"/>
      <c r="F200" s="11"/>
      <c r="G200" s="11"/>
      <c r="H200" s="13"/>
      <c r="I200" s="13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2"/>
      <c r="P201" s="12"/>
      <c r="Q201" s="12"/>
      <c r="R201" s="12"/>
      <c r="S201" s="12"/>
      <c r="T201" s="12"/>
      <c r="U201" s="12"/>
      <c r="V201" s="12"/>
    </row>
    <row r="202">
      <c r="A202" s="12"/>
      <c r="B202" s="10"/>
      <c r="C202" s="10"/>
      <c r="D202" s="10"/>
      <c r="E202" s="10"/>
      <c r="F202" s="10"/>
      <c r="G202" s="10"/>
      <c r="H202" s="10"/>
      <c r="I202" s="10"/>
      <c r="J202" s="10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</row>
    <row r="204">
      <c r="A204" s="12"/>
      <c r="B204" s="11"/>
      <c r="C204" s="11"/>
      <c r="D204" s="11"/>
      <c r="E204" s="11"/>
      <c r="F204" s="11"/>
      <c r="G204" s="11"/>
      <c r="H204" s="13"/>
      <c r="I204" s="13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</row>
    <row r="205">
      <c r="A205" s="12"/>
      <c r="B205" s="11"/>
      <c r="C205" s="11"/>
      <c r="D205" s="11"/>
      <c r="E205" s="11"/>
      <c r="F205" s="11"/>
      <c r="G205" s="11"/>
      <c r="H205" s="13"/>
      <c r="I205" s="13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</row>
    <row r="206">
      <c r="A206" s="10"/>
      <c r="B206" s="12"/>
      <c r="C206" s="11"/>
      <c r="D206" s="11"/>
      <c r="E206" s="11"/>
      <c r="F206" s="11"/>
      <c r="G206" s="11"/>
      <c r="H206" s="11"/>
      <c r="I206" s="13"/>
      <c r="J206" s="13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</row>
    <row r="207">
      <c r="A207" s="10"/>
      <c r="B207" s="12"/>
      <c r="C207" s="11"/>
      <c r="D207" s="11"/>
      <c r="E207" s="11"/>
      <c r="F207" s="11"/>
      <c r="G207" s="11"/>
      <c r="H207" s="11"/>
      <c r="I207" s="13"/>
      <c r="J207" s="13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</row>
    <row r="208">
      <c r="A208" s="10"/>
      <c r="B208" s="12"/>
      <c r="C208" s="11"/>
      <c r="D208" s="11"/>
      <c r="E208" s="11"/>
      <c r="F208" s="11"/>
      <c r="G208" s="11"/>
      <c r="H208" s="11"/>
      <c r="I208" s="13"/>
      <c r="J208" s="13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</row>
    <row r="209">
      <c r="A209" s="10"/>
      <c r="B209" s="12"/>
      <c r="C209" s="11"/>
      <c r="D209" s="11"/>
      <c r="E209" s="11"/>
      <c r="F209" s="11"/>
      <c r="G209" s="11"/>
      <c r="H209" s="11"/>
      <c r="I209" s="13"/>
      <c r="J209" s="13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</row>
    <row r="210">
      <c r="A210" s="10"/>
      <c r="B210" s="12"/>
      <c r="C210" s="11"/>
      <c r="D210" s="11"/>
      <c r="E210" s="11"/>
      <c r="F210" s="11"/>
      <c r="G210" s="11"/>
      <c r="H210" s="11"/>
      <c r="I210" s="13"/>
      <c r="J210" s="13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</row>
    <row r="211">
      <c r="A211" s="10"/>
      <c r="B211" s="12"/>
      <c r="C211" s="11"/>
      <c r="D211" s="11"/>
      <c r="E211" s="11"/>
      <c r="F211" s="11"/>
      <c r="G211" s="11"/>
      <c r="H211" s="11"/>
      <c r="I211" s="13"/>
      <c r="J211" s="13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</row>
    <row r="212">
      <c r="A212" s="10"/>
      <c r="B212" s="12"/>
      <c r="C212" s="11"/>
      <c r="D212" s="11"/>
      <c r="E212" s="11"/>
      <c r="F212" s="11"/>
      <c r="G212" s="11"/>
      <c r="H212" s="11"/>
      <c r="I212" s="13"/>
      <c r="J212" s="13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</row>
    <row r="213">
      <c r="A213" s="10"/>
      <c r="B213" s="12"/>
      <c r="C213" s="11"/>
      <c r="D213" s="11"/>
      <c r="E213" s="11"/>
      <c r="F213" s="11"/>
      <c r="G213" s="11"/>
      <c r="H213" s="11"/>
      <c r="I213" s="13"/>
      <c r="J213" s="13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</row>
    <row r="214">
      <c r="A214" s="10"/>
      <c r="B214" s="12"/>
      <c r="C214" s="11"/>
      <c r="D214" s="11"/>
      <c r="E214" s="11"/>
      <c r="F214" s="11"/>
      <c r="G214" s="11"/>
      <c r="H214" s="11"/>
      <c r="I214" s="13"/>
      <c r="J214" s="13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</row>
    <row r="215">
      <c r="A215" s="10"/>
      <c r="B215" s="12"/>
      <c r="C215" s="11"/>
      <c r="D215" s="11"/>
      <c r="E215" s="11"/>
      <c r="F215" s="11"/>
      <c r="G215" s="11"/>
      <c r="H215" s="11"/>
      <c r="I215" s="13"/>
      <c r="J215" s="13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</row>
    <row r="216">
      <c r="A216" s="10"/>
      <c r="B216" s="12"/>
      <c r="C216" s="11"/>
      <c r="D216" s="11"/>
      <c r="E216" s="11"/>
      <c r="F216" s="11"/>
      <c r="G216" s="11"/>
      <c r="H216" s="11"/>
      <c r="I216" s="13"/>
      <c r="J216" s="13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</row>
    <row r="217">
      <c r="A217" s="10"/>
      <c r="B217" s="12"/>
      <c r="C217" s="11"/>
      <c r="D217" s="11"/>
      <c r="E217" s="11"/>
      <c r="F217" s="11"/>
      <c r="G217" s="11"/>
      <c r="H217" s="11"/>
      <c r="I217" s="13"/>
      <c r="J217" s="13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</row>
    <row r="218">
      <c r="A218" s="10"/>
      <c r="B218" s="12"/>
      <c r="C218" s="11"/>
      <c r="D218" s="11"/>
      <c r="E218" s="11"/>
      <c r="F218" s="11"/>
      <c r="G218" s="11"/>
      <c r="H218" s="11"/>
      <c r="I218" s="13"/>
      <c r="J218" s="13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</row>
    <row r="219">
      <c r="A219" s="10"/>
      <c r="B219" s="12"/>
      <c r="C219" s="11"/>
      <c r="D219" s="11"/>
      <c r="E219" s="11"/>
      <c r="F219" s="11"/>
      <c r="G219" s="11"/>
      <c r="H219" s="11"/>
      <c r="I219" s="13"/>
      <c r="J219" s="13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X221" s="1" t="s">
        <v>52</v>
      </c>
    </row>
    <row r="222">
      <c r="A222" s="10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X222" s="4" t="s">
        <v>2</v>
      </c>
      <c r="Y222" s="4" t="s">
        <v>3</v>
      </c>
      <c r="Z222" s="4" t="s">
        <v>4</v>
      </c>
      <c r="AA222" s="4" t="s">
        <v>5</v>
      </c>
      <c r="AB222" s="4" t="s">
        <v>6</v>
      </c>
      <c r="AC222" s="4" t="s">
        <v>7</v>
      </c>
      <c r="AD222" s="4" t="s">
        <v>8</v>
      </c>
      <c r="AE222" s="4" t="s">
        <v>9</v>
      </c>
      <c r="AF222" s="4" t="s">
        <v>10</v>
      </c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</row>
    <row r="223">
      <c r="A223" s="10"/>
      <c r="B223" s="12"/>
      <c r="C223" s="11"/>
      <c r="D223" s="11"/>
      <c r="E223" s="11"/>
      <c r="F223" s="11"/>
      <c r="G223" s="11"/>
      <c r="H223" s="11"/>
      <c r="I223" s="13"/>
      <c r="J223" s="13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X223" s="5" t="s">
        <v>15</v>
      </c>
      <c r="Y223" s="9">
        <f t="shared" ref="Y223:AF223" si="26">C223-C203</f>
        <v>0</v>
      </c>
      <c r="Z223" s="9">
        <f t="shared" si="26"/>
        <v>0</v>
      </c>
      <c r="AA223" s="9">
        <f t="shared" si="26"/>
        <v>0</v>
      </c>
      <c r="AB223" s="9">
        <f t="shared" si="26"/>
        <v>0</v>
      </c>
      <c r="AC223" s="9">
        <f t="shared" si="26"/>
        <v>0</v>
      </c>
      <c r="AD223" s="9">
        <f t="shared" si="26"/>
        <v>0</v>
      </c>
      <c r="AE223" s="20">
        <f t="shared" si="26"/>
        <v>0</v>
      </c>
      <c r="AF223" s="20">
        <f t="shared" si="26"/>
        <v>0</v>
      </c>
    </row>
    <row r="224">
      <c r="A224" s="10"/>
      <c r="B224" s="12"/>
      <c r="C224" s="11"/>
      <c r="D224" s="11"/>
      <c r="E224" s="11"/>
      <c r="F224" s="11"/>
      <c r="G224" s="11"/>
      <c r="H224" s="11"/>
      <c r="I224" s="13"/>
      <c r="J224" s="13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X224" s="5" t="s">
        <v>53</v>
      </c>
      <c r="Y224" s="9">
        <f t="shared" ref="Y224:AF224" si="27">C224-C204</f>
        <v>0</v>
      </c>
      <c r="Z224" s="9">
        <f t="shared" si="27"/>
        <v>0</v>
      </c>
      <c r="AA224" s="9">
        <f t="shared" si="27"/>
        <v>0</v>
      </c>
      <c r="AB224" s="9">
        <f t="shared" si="27"/>
        <v>0</v>
      </c>
      <c r="AC224" s="9">
        <f t="shared" si="27"/>
        <v>0</v>
      </c>
      <c r="AD224" s="9">
        <f t="shared" si="27"/>
        <v>0</v>
      </c>
      <c r="AE224" s="20">
        <f t="shared" si="27"/>
        <v>0</v>
      </c>
      <c r="AF224" s="20">
        <f t="shared" si="27"/>
        <v>0</v>
      </c>
    </row>
    <row r="225">
      <c r="A225" s="10"/>
      <c r="B225" s="12"/>
      <c r="C225" s="11"/>
      <c r="D225" s="11"/>
      <c r="E225" s="11"/>
      <c r="F225" s="11"/>
      <c r="G225" s="11"/>
      <c r="H225" s="11"/>
      <c r="I225" s="13"/>
      <c r="J225" s="13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X225" s="5" t="s">
        <v>46</v>
      </c>
      <c r="Y225" s="9">
        <f t="shared" ref="Y225:AF225" si="28">C225-C205</f>
        <v>0</v>
      </c>
      <c r="Z225" s="9">
        <f t="shared" si="28"/>
        <v>0</v>
      </c>
      <c r="AA225" s="9">
        <f t="shared" si="28"/>
        <v>0</v>
      </c>
      <c r="AB225" s="9">
        <f t="shared" si="28"/>
        <v>0</v>
      </c>
      <c r="AC225" s="9">
        <f t="shared" si="28"/>
        <v>0</v>
      </c>
      <c r="AD225" s="9">
        <f t="shared" si="28"/>
        <v>0</v>
      </c>
      <c r="AE225" s="20">
        <f t="shared" si="28"/>
        <v>0</v>
      </c>
      <c r="AF225" s="20">
        <f t="shared" si="28"/>
        <v>0</v>
      </c>
    </row>
    <row r="226">
      <c r="A226" s="10"/>
      <c r="B226" s="12"/>
      <c r="C226" s="11"/>
      <c r="D226" s="11"/>
      <c r="E226" s="11"/>
      <c r="F226" s="11"/>
      <c r="G226" s="11"/>
      <c r="H226" s="11"/>
      <c r="I226" s="13"/>
      <c r="J226" s="13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X226" s="5" t="s">
        <v>54</v>
      </c>
      <c r="Y226" s="9">
        <f t="shared" ref="Y226:AF226" si="29">C226-C206</f>
        <v>0</v>
      </c>
      <c r="Z226" s="9">
        <f t="shared" si="29"/>
        <v>0</v>
      </c>
      <c r="AA226" s="9">
        <f t="shared" si="29"/>
        <v>0</v>
      </c>
      <c r="AB226" s="9">
        <f t="shared" si="29"/>
        <v>0</v>
      </c>
      <c r="AC226" s="9">
        <f t="shared" si="29"/>
        <v>0</v>
      </c>
      <c r="AD226" s="9">
        <f t="shared" si="29"/>
        <v>0</v>
      </c>
      <c r="AE226" s="20">
        <f t="shared" si="29"/>
        <v>0</v>
      </c>
      <c r="AF226" s="20">
        <f t="shared" si="29"/>
        <v>0</v>
      </c>
    </row>
    <row r="227">
      <c r="A227" s="10"/>
      <c r="B227" s="12"/>
      <c r="C227" s="11"/>
      <c r="D227" s="11"/>
      <c r="E227" s="11"/>
      <c r="F227" s="11"/>
      <c r="G227" s="11"/>
      <c r="H227" s="11"/>
      <c r="I227" s="13"/>
      <c r="J227" s="13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X227" s="5" t="s">
        <v>47</v>
      </c>
      <c r="Y227" s="9">
        <f t="shared" ref="Y227:AF227" si="30">C227-C208</f>
        <v>0</v>
      </c>
      <c r="Z227" s="9">
        <f t="shared" si="30"/>
        <v>0</v>
      </c>
      <c r="AA227" s="9">
        <f t="shared" si="30"/>
        <v>0</v>
      </c>
      <c r="AB227" s="9">
        <f t="shared" si="30"/>
        <v>0</v>
      </c>
      <c r="AC227" s="9">
        <f t="shared" si="30"/>
        <v>0</v>
      </c>
      <c r="AD227" s="9">
        <f t="shared" si="30"/>
        <v>0</v>
      </c>
      <c r="AE227" s="20">
        <f t="shared" si="30"/>
        <v>0</v>
      </c>
      <c r="AF227" s="20">
        <f t="shared" si="30"/>
        <v>0</v>
      </c>
    </row>
    <row r="228">
      <c r="A228" s="10"/>
      <c r="B228" s="12"/>
      <c r="C228" s="11"/>
      <c r="D228" s="11"/>
      <c r="E228" s="11"/>
      <c r="F228" s="11"/>
      <c r="G228" s="11"/>
      <c r="H228" s="11"/>
      <c r="I228" s="13"/>
      <c r="J228" s="13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X228" s="5" t="s">
        <v>55</v>
      </c>
      <c r="Y228" s="9">
        <f t="shared" ref="Y228:AF228" si="31">C228-C209</f>
        <v>0</v>
      </c>
      <c r="Z228" s="9">
        <f t="shared" si="31"/>
        <v>0</v>
      </c>
      <c r="AA228" s="9">
        <f t="shared" si="31"/>
        <v>0</v>
      </c>
      <c r="AB228" s="9">
        <f t="shared" si="31"/>
        <v>0</v>
      </c>
      <c r="AC228" s="9">
        <f t="shared" si="31"/>
        <v>0</v>
      </c>
      <c r="AD228" s="9">
        <f t="shared" si="31"/>
        <v>0</v>
      </c>
      <c r="AE228" s="20">
        <f t="shared" si="31"/>
        <v>0</v>
      </c>
      <c r="AF228" s="20">
        <f t="shared" si="31"/>
        <v>0</v>
      </c>
    </row>
    <row r="229">
      <c r="A229" s="10"/>
      <c r="B229" s="12"/>
      <c r="C229" s="11"/>
      <c r="D229" s="11"/>
      <c r="E229" s="11"/>
      <c r="F229" s="11"/>
      <c r="G229" s="11"/>
      <c r="H229" s="11"/>
      <c r="I229" s="13"/>
      <c r="J229" s="13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X229" s="5" t="s">
        <v>56</v>
      </c>
      <c r="Y229" s="9">
        <f t="shared" ref="Y229:AF229" si="32">C229-C210</f>
        <v>0</v>
      </c>
      <c r="Z229" s="9">
        <f t="shared" si="32"/>
        <v>0</v>
      </c>
      <c r="AA229" s="9">
        <f t="shared" si="32"/>
        <v>0</v>
      </c>
      <c r="AB229" s="9">
        <f t="shared" si="32"/>
        <v>0</v>
      </c>
      <c r="AC229" s="9">
        <f t="shared" si="32"/>
        <v>0</v>
      </c>
      <c r="AD229" s="9">
        <f t="shared" si="32"/>
        <v>0</v>
      </c>
      <c r="AE229" s="20">
        <f t="shared" si="32"/>
        <v>0</v>
      </c>
      <c r="AF229" s="20">
        <f t="shared" si="32"/>
        <v>0</v>
      </c>
    </row>
    <row r="230">
      <c r="A230" s="10"/>
      <c r="B230" s="12"/>
      <c r="C230" s="11"/>
      <c r="D230" s="11"/>
      <c r="E230" s="11"/>
      <c r="F230" s="11"/>
      <c r="G230" s="11"/>
      <c r="H230" s="11"/>
      <c r="I230" s="13"/>
      <c r="J230" s="13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X230" s="5" t="s">
        <v>57</v>
      </c>
      <c r="Y230" s="9">
        <f t="shared" ref="Y230:AF230" si="33">C230-C212</f>
        <v>0</v>
      </c>
      <c r="Z230" s="9">
        <f t="shared" si="33"/>
        <v>0</v>
      </c>
      <c r="AA230" s="9">
        <f t="shared" si="33"/>
        <v>0</v>
      </c>
      <c r="AB230" s="9">
        <f t="shared" si="33"/>
        <v>0</v>
      </c>
      <c r="AC230" s="9">
        <f t="shared" si="33"/>
        <v>0</v>
      </c>
      <c r="AD230" s="9">
        <f t="shared" si="33"/>
        <v>0</v>
      </c>
      <c r="AE230" s="20">
        <f t="shared" si="33"/>
        <v>0</v>
      </c>
      <c r="AF230" s="20">
        <f t="shared" si="33"/>
        <v>0</v>
      </c>
    </row>
    <row r="231">
      <c r="A231" s="10"/>
      <c r="B231" s="12"/>
      <c r="C231" s="11"/>
      <c r="D231" s="11"/>
      <c r="E231" s="11"/>
      <c r="F231" s="11"/>
      <c r="G231" s="11"/>
      <c r="H231" s="11"/>
      <c r="I231" s="13"/>
      <c r="J231" s="13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X231" s="5" t="s">
        <v>17</v>
      </c>
      <c r="Y231" s="9">
        <f t="shared" ref="Y231:AF231" si="34">C231-C213</f>
        <v>0</v>
      </c>
      <c r="Z231" s="9">
        <f t="shared" si="34"/>
        <v>0</v>
      </c>
      <c r="AA231" s="9">
        <f t="shared" si="34"/>
        <v>0</v>
      </c>
      <c r="AB231" s="9">
        <f t="shared" si="34"/>
        <v>0</v>
      </c>
      <c r="AC231" s="9">
        <f t="shared" si="34"/>
        <v>0</v>
      </c>
      <c r="AD231" s="9">
        <f t="shared" si="34"/>
        <v>0</v>
      </c>
      <c r="AE231" s="20">
        <f t="shared" si="34"/>
        <v>0</v>
      </c>
      <c r="AF231" s="20">
        <f t="shared" si="34"/>
        <v>0</v>
      </c>
    </row>
    <row r="232">
      <c r="A232" s="10"/>
      <c r="B232" s="12"/>
      <c r="C232" s="11"/>
      <c r="D232" s="11"/>
      <c r="E232" s="11"/>
      <c r="F232" s="11"/>
      <c r="G232" s="11"/>
      <c r="H232" s="11"/>
      <c r="I232" s="13"/>
      <c r="J232" s="13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X232" s="5" t="s">
        <v>18</v>
      </c>
      <c r="Y232" s="9">
        <f t="shared" ref="Y232:AF232" si="35">C232-C214</f>
        <v>0</v>
      </c>
      <c r="Z232" s="9">
        <f t="shared" si="35"/>
        <v>0</v>
      </c>
      <c r="AA232" s="9">
        <f t="shared" si="35"/>
        <v>0</v>
      </c>
      <c r="AB232" s="9">
        <f t="shared" si="35"/>
        <v>0</v>
      </c>
      <c r="AC232" s="9">
        <f t="shared" si="35"/>
        <v>0</v>
      </c>
      <c r="AD232" s="9">
        <f t="shared" si="35"/>
        <v>0</v>
      </c>
      <c r="AE232" s="20">
        <f t="shared" si="35"/>
        <v>0</v>
      </c>
      <c r="AF232" s="20">
        <f t="shared" si="35"/>
        <v>0</v>
      </c>
    </row>
    <row r="233">
      <c r="A233" s="10"/>
      <c r="B233" s="12"/>
      <c r="C233" s="11"/>
      <c r="D233" s="11"/>
      <c r="E233" s="11"/>
      <c r="F233" s="11"/>
      <c r="G233" s="11"/>
      <c r="H233" s="11"/>
      <c r="I233" s="13"/>
      <c r="J233" s="13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X233" s="5" t="s">
        <v>19</v>
      </c>
      <c r="Y233" s="9">
        <f t="shared" ref="Y233:AF233" si="36">C233-C215</f>
        <v>0</v>
      </c>
      <c r="Z233" s="9">
        <f t="shared" si="36"/>
        <v>0</v>
      </c>
      <c r="AA233" s="9">
        <f t="shared" si="36"/>
        <v>0</v>
      </c>
      <c r="AB233" s="9">
        <f t="shared" si="36"/>
        <v>0</v>
      </c>
      <c r="AC233" s="9">
        <f t="shared" si="36"/>
        <v>0</v>
      </c>
      <c r="AD233" s="9">
        <f t="shared" si="36"/>
        <v>0</v>
      </c>
      <c r="AE233" s="20">
        <f t="shared" si="36"/>
        <v>0</v>
      </c>
      <c r="AF233" s="20">
        <f t="shared" si="36"/>
        <v>0</v>
      </c>
    </row>
    <row r="234">
      <c r="A234" s="10"/>
      <c r="B234" s="12"/>
      <c r="C234" s="11"/>
      <c r="D234" s="11"/>
      <c r="E234" s="11"/>
      <c r="F234" s="11"/>
      <c r="G234" s="11"/>
      <c r="H234" s="11"/>
      <c r="I234" s="13"/>
      <c r="J234" s="13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X234" s="5" t="s">
        <v>58</v>
      </c>
      <c r="Y234" s="9">
        <f t="shared" ref="Y234:AF234" si="37">C234-C216</f>
        <v>0</v>
      </c>
      <c r="Z234" s="9">
        <f t="shared" si="37"/>
        <v>0</v>
      </c>
      <c r="AA234" s="9">
        <f t="shared" si="37"/>
        <v>0</v>
      </c>
      <c r="AB234" s="9">
        <f t="shared" si="37"/>
        <v>0</v>
      </c>
      <c r="AC234" s="9">
        <f t="shared" si="37"/>
        <v>0</v>
      </c>
      <c r="AD234" s="9">
        <f t="shared" si="37"/>
        <v>0</v>
      </c>
      <c r="AE234" s="20">
        <f t="shared" si="37"/>
        <v>0</v>
      </c>
      <c r="AF234" s="20">
        <f t="shared" si="37"/>
        <v>0</v>
      </c>
    </row>
    <row r="235">
      <c r="A235" s="10"/>
      <c r="B235" s="12"/>
      <c r="C235" s="11"/>
      <c r="D235" s="11"/>
      <c r="E235" s="11"/>
      <c r="F235" s="11"/>
      <c r="G235" s="11"/>
      <c r="H235" s="11"/>
      <c r="I235" s="13"/>
      <c r="J235" s="13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X235" s="5" t="s">
        <v>20</v>
      </c>
      <c r="Y235" s="9">
        <f t="shared" ref="Y235:AF235" si="38">C235-C217</f>
        <v>0</v>
      </c>
      <c r="Z235" s="9">
        <f t="shared" si="38"/>
        <v>0</v>
      </c>
      <c r="AA235" s="9">
        <f t="shared" si="38"/>
        <v>0</v>
      </c>
      <c r="AB235" s="9">
        <f t="shared" si="38"/>
        <v>0</v>
      </c>
      <c r="AC235" s="9">
        <f t="shared" si="38"/>
        <v>0</v>
      </c>
      <c r="AD235" s="9">
        <f t="shared" si="38"/>
        <v>0</v>
      </c>
      <c r="AE235" s="20">
        <f t="shared" si="38"/>
        <v>0</v>
      </c>
      <c r="AF235" s="20">
        <f t="shared" si="38"/>
        <v>0</v>
      </c>
    </row>
    <row r="236">
      <c r="A236" s="10"/>
      <c r="B236" s="12"/>
      <c r="C236" s="11"/>
      <c r="D236" s="11"/>
      <c r="E236" s="11"/>
      <c r="F236" s="11"/>
      <c r="G236" s="11"/>
      <c r="H236" s="11"/>
      <c r="I236" s="13"/>
      <c r="J236" s="13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X236" s="5" t="s">
        <v>21</v>
      </c>
      <c r="Y236" s="9">
        <f t="shared" ref="Y236:AF236" si="39">C236-C218</f>
        <v>0</v>
      </c>
      <c r="Z236" s="9">
        <f t="shared" si="39"/>
        <v>0</v>
      </c>
      <c r="AA236" s="9">
        <f t="shared" si="39"/>
        <v>0</v>
      </c>
      <c r="AB236" s="9">
        <f t="shared" si="39"/>
        <v>0</v>
      </c>
      <c r="AC236" s="9">
        <f t="shared" si="39"/>
        <v>0</v>
      </c>
      <c r="AD236" s="9">
        <f t="shared" si="39"/>
        <v>0</v>
      </c>
      <c r="AE236" s="20">
        <f t="shared" si="39"/>
        <v>0</v>
      </c>
      <c r="AF236" s="20">
        <f t="shared" si="39"/>
        <v>0</v>
      </c>
    </row>
    <row r="237">
      <c r="A237" s="10"/>
      <c r="B237" s="12"/>
      <c r="C237" s="11"/>
      <c r="D237" s="11"/>
      <c r="E237" s="11"/>
      <c r="F237" s="11"/>
      <c r="G237" s="11"/>
      <c r="H237" s="11"/>
      <c r="I237" s="13"/>
      <c r="J237" s="13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X237" s="5" t="s">
        <v>22</v>
      </c>
      <c r="Y237" s="9">
        <f t="shared" ref="Y237:AF237" si="40">MEDIAN(Y223:Y236)</f>
        <v>0</v>
      </c>
      <c r="Z237" s="9">
        <f t="shared" si="40"/>
        <v>0</v>
      </c>
      <c r="AA237" s="9">
        <f t="shared" si="40"/>
        <v>0</v>
      </c>
      <c r="AB237" s="9">
        <f t="shared" si="40"/>
        <v>0</v>
      </c>
      <c r="AC237" s="9">
        <f t="shared" si="40"/>
        <v>0</v>
      </c>
      <c r="AD237" s="9">
        <f t="shared" si="40"/>
        <v>0</v>
      </c>
      <c r="AE237" s="20">
        <f t="shared" si="40"/>
        <v>0</v>
      </c>
      <c r="AF237" s="20">
        <f t="shared" si="40"/>
        <v>0</v>
      </c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</row>
    <row r="239">
      <c r="A239" s="10"/>
      <c r="B239" s="12"/>
      <c r="C239" s="12"/>
      <c r="D239" s="12"/>
      <c r="E239" s="12"/>
      <c r="F239" s="12"/>
      <c r="G239" s="12"/>
      <c r="H239" s="12"/>
      <c r="I239" s="12"/>
      <c r="J239" s="12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</row>
    <row r="241">
      <c r="A241" s="10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2"/>
      <c r="P241" s="12"/>
      <c r="Q241" s="12"/>
      <c r="R241" s="12"/>
      <c r="S241" s="12"/>
      <c r="T241" s="12"/>
      <c r="U241" s="12"/>
      <c r="V241" s="12"/>
      <c r="X241" s="1" t="s">
        <v>59</v>
      </c>
    </row>
    <row r="242">
      <c r="A242" s="10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X242" s="4" t="s">
        <v>2</v>
      </c>
      <c r="Y242" s="4" t="s">
        <v>3</v>
      </c>
      <c r="Z242" s="4" t="s">
        <v>4</v>
      </c>
      <c r="AA242" s="4" t="s">
        <v>5</v>
      </c>
      <c r="AB242" s="4" t="s">
        <v>6</v>
      </c>
      <c r="AC242" s="4" t="s">
        <v>7</v>
      </c>
      <c r="AD242" s="4" t="s">
        <v>8</v>
      </c>
      <c r="AE242" s="4" t="s">
        <v>9</v>
      </c>
      <c r="AF242" s="4" t="s">
        <v>10</v>
      </c>
      <c r="AG242" s="4" t="s">
        <v>11</v>
      </c>
      <c r="AH242" s="4" t="s">
        <v>12</v>
      </c>
      <c r="AI242" s="4" t="s">
        <v>13</v>
      </c>
      <c r="AJ242" s="4" t="s">
        <v>14</v>
      </c>
      <c r="AK242" s="4" t="s">
        <v>3</v>
      </c>
      <c r="AL242" s="4" t="s">
        <v>4</v>
      </c>
      <c r="AM242" s="4" t="s">
        <v>5</v>
      </c>
      <c r="AN242" s="4" t="s">
        <v>6</v>
      </c>
      <c r="AO242" s="4" t="s">
        <v>7</v>
      </c>
      <c r="AP242" s="4" t="s">
        <v>8</v>
      </c>
      <c r="AQ242" s="4" t="s">
        <v>9</v>
      </c>
      <c r="AR242" s="4" t="s">
        <v>10</v>
      </c>
    </row>
    <row r="243">
      <c r="A243" s="10"/>
      <c r="B243" s="12"/>
      <c r="C243" s="11"/>
      <c r="D243" s="11"/>
      <c r="E243" s="11"/>
      <c r="F243" s="11"/>
      <c r="G243" s="11"/>
      <c r="H243" s="11"/>
      <c r="I243" s="13"/>
      <c r="J243" s="13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X243" s="5" t="s">
        <v>15</v>
      </c>
      <c r="Y243" s="6">
        <v>0.940795918367346</v>
      </c>
      <c r="Z243" s="6">
        <v>0.96342895133254</v>
      </c>
      <c r="AA243" s="6">
        <v>0.948484254981736</v>
      </c>
      <c r="AB243" s="6">
        <v>0.931600465013508</v>
      </c>
      <c r="AC243" s="6">
        <v>0.913615953478535</v>
      </c>
      <c r="AD243" s="6">
        <v>0.921260620807112</v>
      </c>
      <c r="AE243" s="7">
        <v>3.91632653061224</v>
      </c>
      <c r="AF243" s="7">
        <v>2.00408163265306</v>
      </c>
      <c r="AG243" s="8">
        <v>146.4</v>
      </c>
      <c r="AH243" s="8">
        <v>52.8</v>
      </c>
      <c r="AI243" s="8">
        <v>434.0</v>
      </c>
      <c r="AJ243" s="8">
        <v>166.0</v>
      </c>
      <c r="AK243" s="8">
        <v>0.00777773282283403</v>
      </c>
      <c r="AL243" s="8">
        <v>0.0143093573376672</v>
      </c>
      <c r="AM243" s="8">
        <v>0.0222168231106535</v>
      </c>
      <c r="AN243" s="8">
        <v>0.0160837788169588</v>
      </c>
      <c r="AO243" s="8">
        <v>0.0140260376475939</v>
      </c>
      <c r="AP243" s="8">
        <v>0.010920723592909</v>
      </c>
      <c r="AQ243" s="8">
        <v>1.28231491004736</v>
      </c>
      <c r="AR243" s="8">
        <v>0.889889528871048</v>
      </c>
    </row>
    <row r="244">
      <c r="A244" s="10"/>
      <c r="B244" s="12"/>
      <c r="C244" s="11"/>
      <c r="D244" s="11"/>
      <c r="E244" s="11"/>
      <c r="F244" s="11"/>
      <c r="G244" s="11"/>
      <c r="H244" s="11"/>
      <c r="I244" s="13"/>
      <c r="J244" s="13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X244" s="5" t="s">
        <v>53</v>
      </c>
      <c r="Y244" s="6">
        <v>0.952088639698951</v>
      </c>
      <c r="Z244" s="6">
        <v>0.973864227227454</v>
      </c>
      <c r="AA244" s="6">
        <v>0.97443714566926</v>
      </c>
      <c r="AB244" s="6">
        <v>0.958270912978626</v>
      </c>
      <c r="AC244" s="6">
        <v>0.935134777822876</v>
      </c>
      <c r="AD244" s="6">
        <v>0.945009890327934</v>
      </c>
      <c r="AE244" s="7">
        <v>0.809575327716226</v>
      </c>
      <c r="AF244" s="7">
        <v>3.98156070238863</v>
      </c>
      <c r="AG244" s="8">
        <v>42.6</v>
      </c>
      <c r="AH244" s="8">
        <v>83.2</v>
      </c>
      <c r="AI244" s="8">
        <v>96.6</v>
      </c>
      <c r="AJ244" s="8">
        <v>262.0</v>
      </c>
      <c r="AK244" s="8">
        <v>0.0172759173252451</v>
      </c>
      <c r="AL244" s="8">
        <v>0.0173879056444793</v>
      </c>
      <c r="AM244" s="8">
        <v>0.0166673769180284</v>
      </c>
      <c r="AN244" s="8">
        <v>0.0157961964720652</v>
      </c>
      <c r="AO244" s="8">
        <v>0.0226935031287015</v>
      </c>
      <c r="AP244" s="8">
        <v>0.0197632641001177</v>
      </c>
      <c r="AQ244" s="8">
        <v>0.510446683708873</v>
      </c>
      <c r="AR244" s="8">
        <v>1.54785683553346</v>
      </c>
    </row>
    <row r="245">
      <c r="A245" s="10"/>
      <c r="B245" s="12"/>
      <c r="C245" s="11"/>
      <c r="D245" s="11"/>
      <c r="E245" s="11"/>
      <c r="F245" s="11"/>
      <c r="G245" s="11"/>
      <c r="H245" s="11"/>
      <c r="I245" s="13"/>
      <c r="J245" s="13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X245" s="5" t="s">
        <v>46</v>
      </c>
      <c r="Y245" s="6">
        <v>0.946163506373848</v>
      </c>
      <c r="Z245" s="6">
        <v>0.968382386178263</v>
      </c>
      <c r="AA245" s="6">
        <v>0.965675050063481</v>
      </c>
      <c r="AB245" s="6">
        <v>0.949170135861058</v>
      </c>
      <c r="AC245" s="6">
        <v>0.937853670059655</v>
      </c>
      <c r="AD245" s="6">
        <v>0.942673976114626</v>
      </c>
      <c r="AE245" s="7">
        <v>1.42778781253803</v>
      </c>
      <c r="AF245" s="7">
        <v>3.95586155007715</v>
      </c>
      <c r="AG245" s="8">
        <v>61.2</v>
      </c>
      <c r="AH245" s="8">
        <v>95.4</v>
      </c>
      <c r="AI245" s="8">
        <v>156.0</v>
      </c>
      <c r="AJ245" s="8">
        <v>307.4</v>
      </c>
      <c r="AK245" s="8">
        <v>0.0130340585085822</v>
      </c>
      <c r="AL245" s="8">
        <v>0.0136639219874336</v>
      </c>
      <c r="AM245" s="8">
        <v>0.015167786885894</v>
      </c>
      <c r="AN245" s="8">
        <v>0.013103854522218</v>
      </c>
      <c r="AO245" s="8">
        <v>0.014738910297</v>
      </c>
      <c r="AP245" s="8">
        <v>0.0140376850124422</v>
      </c>
      <c r="AQ245" s="8">
        <v>0.666022418130901</v>
      </c>
      <c r="AR245" s="8">
        <v>1.00024885183963</v>
      </c>
    </row>
    <row r="246">
      <c r="A246" s="10"/>
      <c r="B246" s="12"/>
      <c r="C246" s="11"/>
      <c r="D246" s="11"/>
      <c r="E246" s="11"/>
      <c r="F246" s="11"/>
      <c r="G246" s="11"/>
      <c r="H246" s="11"/>
      <c r="I246" s="13"/>
      <c r="J246" s="13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X246" s="5" t="s">
        <v>47</v>
      </c>
      <c r="Y246" s="6">
        <v>0.946834441583591</v>
      </c>
      <c r="Z246" s="6">
        <v>0.965517227608104</v>
      </c>
      <c r="AA246" s="6">
        <v>0.96401655304529</v>
      </c>
      <c r="AB246" s="6">
        <v>0.946089643847512</v>
      </c>
      <c r="AC246" s="6">
        <v>0.940260580240749</v>
      </c>
      <c r="AD246" s="6">
        <v>0.942902997216637</v>
      </c>
      <c r="AE246" s="7">
        <v>2.0380288847678</v>
      </c>
      <c r="AF246" s="7">
        <v>3.27852695687303</v>
      </c>
      <c r="AG246" s="8">
        <v>65.6</v>
      </c>
      <c r="AH246" s="8">
        <v>109.4</v>
      </c>
      <c r="AI246" s="8">
        <v>164.2</v>
      </c>
      <c r="AJ246" s="8">
        <v>354.8</v>
      </c>
      <c r="AK246" s="8">
        <v>0.0206359214192794</v>
      </c>
      <c r="AL246" s="8">
        <v>0.0181168777782945</v>
      </c>
      <c r="AM246" s="8">
        <v>0.0173144100452653</v>
      </c>
      <c r="AN246" s="8">
        <v>0.0224817208392749</v>
      </c>
      <c r="AO246" s="8">
        <v>0.0216168842730897</v>
      </c>
      <c r="AP246" s="8">
        <v>0.0219953483675271</v>
      </c>
      <c r="AQ246" s="8">
        <v>1.12105910668513</v>
      </c>
      <c r="AR246" s="8">
        <v>1.15425923267464</v>
      </c>
    </row>
    <row r="247">
      <c r="A247" s="10"/>
      <c r="B247" s="12"/>
      <c r="C247" s="11"/>
      <c r="D247" s="11"/>
      <c r="E247" s="11"/>
      <c r="F247" s="11"/>
      <c r="G247" s="11"/>
      <c r="H247" s="11"/>
      <c r="I247" s="13"/>
      <c r="J247" s="13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X247" s="5" t="s">
        <v>56</v>
      </c>
      <c r="Y247" s="6">
        <v>0.962967077331025</v>
      </c>
      <c r="Z247" s="6">
        <v>0.970841494656106</v>
      </c>
      <c r="AA247" s="6">
        <v>0.97411224397514</v>
      </c>
      <c r="AB247" s="6">
        <v>0.967065546458311</v>
      </c>
      <c r="AC247" s="6">
        <v>0.943993005160781</v>
      </c>
      <c r="AD247" s="6">
        <v>0.953741988708687</v>
      </c>
      <c r="AE247" s="7">
        <v>0.652047489380582</v>
      </c>
      <c r="AF247" s="7">
        <v>3.05124477751688</v>
      </c>
      <c r="AG247" s="8">
        <v>45.0</v>
      </c>
      <c r="AH247" s="8">
        <v>109.8</v>
      </c>
      <c r="AI247" s="8">
        <v>106.0</v>
      </c>
      <c r="AJ247" s="8">
        <v>350.2</v>
      </c>
      <c r="AK247" s="8">
        <v>0.0226295929597196</v>
      </c>
      <c r="AL247" s="8">
        <v>0.0211857850255987</v>
      </c>
      <c r="AM247" s="8">
        <v>0.0181767776790034</v>
      </c>
      <c r="AN247" s="8">
        <v>0.0173930553297211</v>
      </c>
      <c r="AO247" s="8">
        <v>0.0358774454522727</v>
      </c>
      <c r="AP247" s="8">
        <v>0.0282109346560438</v>
      </c>
      <c r="AQ247" s="8">
        <v>0.411488303316383</v>
      </c>
      <c r="AR247" s="8">
        <v>2.20304092732475</v>
      </c>
    </row>
    <row r="248">
      <c r="A248" s="10"/>
      <c r="B248" s="12"/>
      <c r="C248" s="11"/>
      <c r="D248" s="11"/>
      <c r="E248" s="11"/>
      <c r="F248" s="11"/>
      <c r="G248" s="11"/>
      <c r="H248" s="11"/>
      <c r="I248" s="13"/>
      <c r="J248" s="13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X248" s="5" t="s">
        <v>17</v>
      </c>
      <c r="Y248" s="6">
        <v>0.922714285714285</v>
      </c>
      <c r="Z248" s="6">
        <v>0.969854887171736</v>
      </c>
      <c r="AA248" s="6">
        <v>0.968757844940412</v>
      </c>
      <c r="AB248" s="6">
        <v>0.922705969829023</v>
      </c>
      <c r="AC248" s="6">
        <v>0.922837514477673</v>
      </c>
      <c r="AD248" s="6">
        <v>0.922463065937109</v>
      </c>
      <c r="AE248" s="7">
        <v>4.01632653061224</v>
      </c>
      <c r="AF248" s="7">
        <v>3.71224489795918</v>
      </c>
      <c r="AG248" s="8">
        <v>103.4</v>
      </c>
      <c r="AH248" s="8">
        <v>95.8</v>
      </c>
      <c r="AI248" s="8">
        <v>297.6</v>
      </c>
      <c r="AJ248" s="8">
        <v>302.4</v>
      </c>
      <c r="AK248" s="8">
        <v>0.0135028341696195</v>
      </c>
      <c r="AL248" s="8">
        <v>0.00797695936525302</v>
      </c>
      <c r="AM248" s="8">
        <v>0.00789778096610883</v>
      </c>
      <c r="AN248" s="8">
        <v>0.0136211572549609</v>
      </c>
      <c r="AO248" s="8">
        <v>0.0129546827397823</v>
      </c>
      <c r="AP248" s="8">
        <v>0.0134437760137071</v>
      </c>
      <c r="AQ248" s="8">
        <v>1.22518007754261</v>
      </c>
      <c r="AR248" s="8">
        <v>1.02149737785334</v>
      </c>
    </row>
    <row r="249">
      <c r="A249" s="10"/>
      <c r="B249" s="12"/>
      <c r="C249" s="11"/>
      <c r="D249" s="11"/>
      <c r="E249" s="11"/>
      <c r="F249" s="11"/>
      <c r="G249" s="11"/>
      <c r="H249" s="11"/>
      <c r="I249" s="13"/>
      <c r="J249" s="13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X249" s="5" t="s">
        <v>18</v>
      </c>
      <c r="Y249" s="6">
        <v>0.883663426973771</v>
      </c>
      <c r="Z249" s="6">
        <v>0.841123736651341</v>
      </c>
      <c r="AA249" s="6">
        <v>0.829731963754347</v>
      </c>
      <c r="AB249" s="6">
        <v>0.938101946740169</v>
      </c>
      <c r="AC249" s="6">
        <v>0.671193947664535</v>
      </c>
      <c r="AD249" s="6">
        <v>0.711821100056577</v>
      </c>
      <c r="AE249" s="7">
        <v>0.0</v>
      </c>
      <c r="AF249" s="7">
        <v>11.6336573026228</v>
      </c>
      <c r="AG249" s="8">
        <v>25.8</v>
      </c>
      <c r="AH249" s="8">
        <v>119.0</v>
      </c>
      <c r="AI249" s="8">
        <v>69.0</v>
      </c>
      <c r="AJ249" s="8">
        <v>356.6</v>
      </c>
      <c r="AK249" s="8">
        <v>0.0284360764597232</v>
      </c>
      <c r="AL249" s="8">
        <v>0.0718548222840457</v>
      </c>
      <c r="AM249" s="8">
        <v>0.0631493019803987</v>
      </c>
      <c r="AN249" s="8">
        <v>0.0147434809681668</v>
      </c>
      <c r="AO249" s="8">
        <v>0.0785145341439417</v>
      </c>
      <c r="AP249" s="8">
        <v>0.0917485654797793</v>
      </c>
      <c r="AQ249" s="8">
        <v>0.0</v>
      </c>
      <c r="AR249" s="8">
        <v>2.84360764597232</v>
      </c>
    </row>
    <row r="250">
      <c r="A250" s="10"/>
      <c r="B250" s="12"/>
      <c r="C250" s="11"/>
      <c r="D250" s="11"/>
      <c r="E250" s="11"/>
      <c r="F250" s="11"/>
      <c r="G250" s="11"/>
      <c r="H250" s="11"/>
      <c r="I250" s="13"/>
      <c r="J250" s="13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X250" s="5" t="s">
        <v>19</v>
      </c>
      <c r="Y250" s="6">
        <v>0.889207612531195</v>
      </c>
      <c r="Z250" s="6">
        <v>0.925838398945108</v>
      </c>
      <c r="AA250" s="6">
        <v>0.925705138383092</v>
      </c>
      <c r="AB250" s="6">
        <v>0.882707199195186</v>
      </c>
      <c r="AC250" s="6">
        <v>0.851515221182618</v>
      </c>
      <c r="AD250" s="6">
        <v>0.863708478180417</v>
      </c>
      <c r="AE250" s="7">
        <v>3.5422681322887</v>
      </c>
      <c r="AF250" s="7">
        <v>7.53697061459179</v>
      </c>
      <c r="AG250" s="8">
        <v>43.4</v>
      </c>
      <c r="AH250" s="8">
        <v>96.4</v>
      </c>
      <c r="AI250" s="8">
        <v>131.2</v>
      </c>
      <c r="AJ250" s="8">
        <v>274.0</v>
      </c>
      <c r="AK250" s="8">
        <v>0.0331990838556826</v>
      </c>
      <c r="AL250" s="8">
        <v>0.0253533182276831</v>
      </c>
      <c r="AM250" s="8">
        <v>0.0289817297762139</v>
      </c>
      <c r="AN250" s="8">
        <v>0.0417991653883935</v>
      </c>
      <c r="AO250" s="8">
        <v>0.049809980773248</v>
      </c>
      <c r="AP250" s="8">
        <v>0.0464131660364973</v>
      </c>
      <c r="AQ250" s="8">
        <v>1.60756742051388</v>
      </c>
      <c r="AR250" s="8">
        <v>2.4213356008601</v>
      </c>
    </row>
    <row r="251">
      <c r="A251" s="10"/>
      <c r="B251" s="12"/>
      <c r="C251" s="11"/>
      <c r="D251" s="11"/>
      <c r="E251" s="11"/>
      <c r="F251" s="11"/>
      <c r="G251" s="11"/>
      <c r="H251" s="11"/>
      <c r="I251" s="13"/>
      <c r="J251" s="13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X251" s="5" t="s">
        <v>20</v>
      </c>
      <c r="Y251" s="6">
        <v>0.921216547972669</v>
      </c>
      <c r="Z251" s="6">
        <v>0.960218360491584</v>
      </c>
      <c r="AA251" s="6">
        <v>0.955405192913748</v>
      </c>
      <c r="AB251" s="6">
        <v>0.916751902851743</v>
      </c>
      <c r="AC251" s="6">
        <v>0.913206256107923</v>
      </c>
      <c r="AD251" s="6">
        <v>0.914063089704165</v>
      </c>
      <c r="AE251" s="7">
        <v>3.74932926743211</v>
      </c>
      <c r="AF251" s="7">
        <v>4.12901593530089</v>
      </c>
      <c r="AG251" s="8">
        <v>59.8</v>
      </c>
      <c r="AH251" s="8">
        <v>104.6</v>
      </c>
      <c r="AI251" s="8">
        <v>150.8</v>
      </c>
      <c r="AJ251" s="8">
        <v>338.4</v>
      </c>
      <c r="AK251" s="8">
        <v>0.0235402052002601</v>
      </c>
      <c r="AL251" s="8">
        <v>0.0141239074327208</v>
      </c>
      <c r="AM251" s="8">
        <v>0.017647290804458</v>
      </c>
      <c r="AN251" s="8">
        <v>0.0278367618781113</v>
      </c>
      <c r="AO251" s="8">
        <v>0.0284144187476683</v>
      </c>
      <c r="AP251" s="8">
        <v>0.0269182161130868</v>
      </c>
      <c r="AQ251" s="8">
        <v>1.75089367948022</v>
      </c>
      <c r="AR251" s="8">
        <v>1.91946715738592</v>
      </c>
    </row>
    <row r="252">
      <c r="A252" s="10"/>
      <c r="B252" s="12"/>
      <c r="C252" s="11"/>
      <c r="D252" s="11"/>
      <c r="E252" s="11"/>
      <c r="F252" s="11"/>
      <c r="G252" s="11"/>
      <c r="H252" s="11"/>
      <c r="I252" s="13"/>
      <c r="J252" s="13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X252" s="5" t="s">
        <v>21</v>
      </c>
      <c r="Y252" s="6">
        <v>0.959760756068402</v>
      </c>
      <c r="Z252" s="6">
        <v>0.973819822666913</v>
      </c>
      <c r="AA252" s="6">
        <v>0.971753995029719</v>
      </c>
      <c r="AB252" s="6">
        <v>0.96169379771659</v>
      </c>
      <c r="AC252" s="6">
        <v>0.955619215947799</v>
      </c>
      <c r="AD252" s="6">
        <v>0.958221247176794</v>
      </c>
      <c r="AE252" s="7">
        <v>1.21863092791889</v>
      </c>
      <c r="AF252" s="7">
        <v>2.80529346524089</v>
      </c>
      <c r="AG252" s="8">
        <v>68.6</v>
      </c>
      <c r="AH252" s="8">
        <v>95.6</v>
      </c>
      <c r="AI252" s="8">
        <v>180.4</v>
      </c>
      <c r="AJ252" s="8">
        <v>308.0</v>
      </c>
      <c r="AK252" s="8">
        <v>0.00508251132202531</v>
      </c>
      <c r="AL252" s="8">
        <v>0.0130340189609282</v>
      </c>
      <c r="AM252" s="8">
        <v>0.0147800502926522</v>
      </c>
      <c r="AN252" s="8">
        <v>0.0035456508849056</v>
      </c>
      <c r="AO252" s="8">
        <v>0.00789764655521018</v>
      </c>
      <c r="AP252" s="8">
        <v>0.00565152947280352</v>
      </c>
      <c r="AQ252" s="8">
        <v>0.386627074961931</v>
      </c>
      <c r="AR252" s="8">
        <v>0.836857764007817</v>
      </c>
    </row>
    <row r="253">
      <c r="A253" s="10"/>
      <c r="B253" s="12"/>
      <c r="C253" s="11"/>
      <c r="D253" s="11"/>
      <c r="E253" s="11"/>
      <c r="F253" s="11"/>
      <c r="G253" s="11"/>
      <c r="H253" s="11"/>
      <c r="I253" s="13"/>
      <c r="J253" s="13"/>
      <c r="K253" s="10"/>
      <c r="L253" s="10"/>
      <c r="M253" s="10"/>
      <c r="N253" s="10"/>
      <c r="O253" s="11"/>
      <c r="P253" s="11"/>
      <c r="Q253" s="11"/>
      <c r="R253" s="11"/>
      <c r="S253" s="11"/>
      <c r="T253" s="11"/>
      <c r="U253" s="10"/>
      <c r="V253" s="10"/>
      <c r="X253" s="5" t="s">
        <v>22</v>
      </c>
      <c r="Y253" s="6">
        <f t="shared" ref="Y253:AF253" si="41">MEDIAN(Y243:Y252)</f>
        <v>0.9434797124</v>
      </c>
      <c r="Z253" s="6">
        <f t="shared" si="41"/>
        <v>0.9669498069</v>
      </c>
      <c r="AA253" s="6">
        <f t="shared" si="41"/>
        <v>0.9648458016</v>
      </c>
      <c r="AB253" s="6">
        <f t="shared" si="41"/>
        <v>0.9420957953</v>
      </c>
      <c r="AC253" s="6">
        <f t="shared" si="41"/>
        <v>0.9289861462</v>
      </c>
      <c r="AD253" s="6">
        <f t="shared" si="41"/>
        <v>0.932568521</v>
      </c>
      <c r="AE253" s="7">
        <f t="shared" si="41"/>
        <v>1.732908349</v>
      </c>
      <c r="AF253" s="7">
        <f t="shared" si="41"/>
        <v>3.834053224</v>
      </c>
      <c r="AK253" s="9">
        <f t="shared" ref="AK253:AP253" si="42">MEDIAN(AK243:AK252)</f>
        <v>0.01895591937</v>
      </c>
      <c r="AL253" s="9">
        <f t="shared" si="42"/>
        <v>0.01584863149</v>
      </c>
      <c r="AM253" s="9">
        <f t="shared" si="42"/>
        <v>0.01748085042</v>
      </c>
      <c r="AN253" s="9">
        <f t="shared" si="42"/>
        <v>0.01593998764</v>
      </c>
      <c r="AO253" s="9">
        <f t="shared" si="42"/>
        <v>0.0221551937</v>
      </c>
      <c r="AP253" s="9">
        <f t="shared" si="42"/>
        <v>0.02087930623</v>
      </c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</row>
    <row r="255">
      <c r="A255" s="10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2"/>
      <c r="P255" s="12"/>
      <c r="Q255" s="12"/>
      <c r="R255" s="12"/>
      <c r="S255" s="12"/>
      <c r="T255" s="12"/>
      <c r="U255" s="12"/>
      <c r="V255" s="12"/>
    </row>
    <row r="256">
      <c r="A256" s="10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</row>
    <row r="257">
      <c r="A257" s="10"/>
      <c r="B257" s="12"/>
      <c r="C257" s="11"/>
      <c r="D257" s="11"/>
      <c r="E257" s="11"/>
      <c r="F257" s="11"/>
      <c r="G257" s="11"/>
      <c r="H257" s="11"/>
      <c r="I257" s="13"/>
      <c r="J257" s="13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</row>
    <row r="258">
      <c r="A258" s="10"/>
      <c r="B258" s="12"/>
      <c r="C258" s="11"/>
      <c r="D258" s="11"/>
      <c r="E258" s="11"/>
      <c r="F258" s="11"/>
      <c r="G258" s="11"/>
      <c r="H258" s="11"/>
      <c r="I258" s="13"/>
      <c r="J258" s="13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</row>
    <row r="259">
      <c r="A259" s="10"/>
      <c r="B259" s="12"/>
      <c r="C259" s="11"/>
      <c r="D259" s="11"/>
      <c r="E259" s="11"/>
      <c r="F259" s="11"/>
      <c r="G259" s="11"/>
      <c r="H259" s="11"/>
      <c r="I259" s="13"/>
      <c r="J259" s="13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</row>
    <row r="260">
      <c r="A260" s="10"/>
      <c r="B260" s="12"/>
      <c r="C260" s="11"/>
      <c r="D260" s="11"/>
      <c r="E260" s="11"/>
      <c r="F260" s="11"/>
      <c r="G260" s="11"/>
      <c r="H260" s="11"/>
      <c r="I260" s="13"/>
      <c r="J260" s="13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</row>
  </sheetData>
  <mergeCells count="5">
    <mergeCell ref="AK162:AR162"/>
    <mergeCell ref="O13:V13"/>
    <mergeCell ref="O2:V2"/>
    <mergeCell ref="B29:E29"/>
    <mergeCell ref="B37:E37"/>
  </mergeCells>
  <drawing r:id="rId1"/>
</worksheet>
</file>